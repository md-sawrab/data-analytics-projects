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7FA10F7-F0A6-49ED-AA8A-70FB65B75BDE}" xr6:coauthVersionLast="47" xr6:coauthVersionMax="47" xr10:uidLastSave="{00000000-0000-0000-0000-000000000000}"/>
  <bookViews>
    <workbookView xWindow="-108" yWindow="-108" windowWidth="23256" windowHeight="12456" tabRatio="500" firstSheet="2" activeTab="2" xr2:uid="{00000000-000D-0000-FFFF-FFFF00000000}"/>
  </bookViews>
  <sheets>
    <sheet name="Lists" sheetId="1" r:id="rId1"/>
    <sheet name="Employee_Master" sheetId="2" r:id="rId2"/>
    <sheet name="Dashboard" sheetId="3" r:id="rId3"/>
    <sheet name="Attendance_Log" sheetId="4" r:id="rId4"/>
    <sheet name="Leave_Records" sheetId="5" r:id="rId5"/>
    <sheet name="Payroll" sheetId="6" r:id="rId6"/>
    <sheet name="Performance_Reviews" sheetId="7" r:id="rId7"/>
    <sheet name="Recruitment_Pipeline" sheetId="8" r:id="rId8"/>
    <sheet name="Calculations" sheetId="9" r:id="rId9"/>
  </sheets>
  <externalReferences>
    <externalReference r:id="rId10"/>
  </externalReferences>
  <definedNames>
    <definedName name="_xlnm.Print_Area" localSheetId="2">Dashboard!$E$2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1" i="3" l="1"/>
  <c r="H22" i="3"/>
  <c r="H23" i="3"/>
  <c r="H24" i="3"/>
  <c r="H25" i="3"/>
  <c r="H26" i="3"/>
  <c r="H27" i="3"/>
  <c r="H28" i="3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2" i="9"/>
  <c r="E2" i="9"/>
  <c r="E39" i="9"/>
  <c r="E36" i="9"/>
  <c r="E35" i="9"/>
  <c r="A31" i="9"/>
  <c r="H31" i="9" s="1"/>
  <c r="J30" i="9"/>
  <c r="H30" i="9"/>
  <c r="D30" i="9"/>
  <c r="K30" i="9" s="1"/>
  <c r="B30" i="9"/>
  <c r="A30" i="9"/>
  <c r="C30" i="9" s="1"/>
  <c r="H29" i="9"/>
  <c r="J29" i="9" s="1"/>
  <c r="D29" i="9"/>
  <c r="K29" i="9" s="1"/>
  <c r="B29" i="9"/>
  <c r="A29" i="9"/>
  <c r="G29" i="9" s="1"/>
  <c r="L29" i="9" s="1"/>
  <c r="J28" i="9"/>
  <c r="H28" i="9"/>
  <c r="D28" i="9"/>
  <c r="K28" i="9" s="1"/>
  <c r="B28" i="9"/>
  <c r="A28" i="9"/>
  <c r="C28" i="9" s="1"/>
  <c r="J27" i="9"/>
  <c r="H27" i="9"/>
  <c r="D27" i="9"/>
  <c r="K27" i="9" s="1"/>
  <c r="B27" i="9"/>
  <c r="A27" i="9"/>
  <c r="G27" i="9" s="1"/>
  <c r="L27" i="9" s="1"/>
  <c r="J26" i="9"/>
  <c r="H26" i="9"/>
  <c r="D26" i="9"/>
  <c r="K26" i="9" s="1"/>
  <c r="B26" i="9"/>
  <c r="A26" i="9"/>
  <c r="C26" i="9" s="1"/>
  <c r="J25" i="9"/>
  <c r="H25" i="9"/>
  <c r="D25" i="9"/>
  <c r="K25" i="9" s="1"/>
  <c r="B25" i="9"/>
  <c r="A25" i="9"/>
  <c r="G25" i="9" s="1"/>
  <c r="L25" i="9" s="1"/>
  <c r="J24" i="9"/>
  <c r="H24" i="9"/>
  <c r="D24" i="9"/>
  <c r="K24" i="9" s="1"/>
  <c r="B24" i="9"/>
  <c r="A24" i="9"/>
  <c r="C24" i="9" s="1"/>
  <c r="J23" i="9"/>
  <c r="H23" i="9"/>
  <c r="D23" i="9"/>
  <c r="K23" i="9" s="1"/>
  <c r="B23" i="9"/>
  <c r="A23" i="9"/>
  <c r="G23" i="9" s="1"/>
  <c r="L23" i="9" s="1"/>
  <c r="J22" i="9"/>
  <c r="H22" i="9"/>
  <c r="D22" i="9"/>
  <c r="K22" i="9" s="1"/>
  <c r="B22" i="9"/>
  <c r="A22" i="9"/>
  <c r="C22" i="9" s="1"/>
  <c r="J21" i="9"/>
  <c r="H21" i="9"/>
  <c r="D21" i="9"/>
  <c r="K21" i="9" s="1"/>
  <c r="B21" i="9"/>
  <c r="A21" i="9"/>
  <c r="G21" i="9" s="1"/>
  <c r="L21" i="9" s="1"/>
  <c r="J20" i="9"/>
  <c r="H20" i="9"/>
  <c r="D20" i="9"/>
  <c r="K20" i="9" s="1"/>
  <c r="B20" i="9"/>
  <c r="A20" i="9"/>
  <c r="C20" i="9" s="1"/>
  <c r="J19" i="9"/>
  <c r="H19" i="9"/>
  <c r="D19" i="9"/>
  <c r="K19" i="9" s="1"/>
  <c r="B19" i="9"/>
  <c r="A19" i="9"/>
  <c r="G19" i="9" s="1"/>
  <c r="L19" i="9" s="1"/>
  <c r="J18" i="9"/>
  <c r="H18" i="9"/>
  <c r="D18" i="9"/>
  <c r="K18" i="9" s="1"/>
  <c r="B18" i="9"/>
  <c r="A18" i="9"/>
  <c r="C18" i="9" s="1"/>
  <c r="J17" i="9"/>
  <c r="H17" i="9"/>
  <c r="D17" i="9"/>
  <c r="K17" i="9" s="1"/>
  <c r="B17" i="9"/>
  <c r="A17" i="9"/>
  <c r="G17" i="9" s="1"/>
  <c r="L17" i="9" s="1"/>
  <c r="J16" i="9"/>
  <c r="H16" i="9"/>
  <c r="D16" i="9"/>
  <c r="K16" i="9" s="1"/>
  <c r="B16" i="9"/>
  <c r="A16" i="9"/>
  <c r="C16" i="9" s="1"/>
  <c r="J15" i="9"/>
  <c r="H15" i="9"/>
  <c r="D15" i="9"/>
  <c r="K15" i="9" s="1"/>
  <c r="B15" i="9"/>
  <c r="A15" i="9"/>
  <c r="G15" i="9" s="1"/>
  <c r="L15" i="9" s="1"/>
  <c r="J14" i="9"/>
  <c r="H14" i="9"/>
  <c r="D14" i="9"/>
  <c r="K14" i="9" s="1"/>
  <c r="B14" i="9"/>
  <c r="A14" i="9"/>
  <c r="C14" i="9" s="1"/>
  <c r="J13" i="9"/>
  <c r="H13" i="9"/>
  <c r="D13" i="9"/>
  <c r="K13" i="9" s="1"/>
  <c r="B13" i="9"/>
  <c r="A13" i="9"/>
  <c r="G13" i="9" s="1"/>
  <c r="L13" i="9" s="1"/>
  <c r="J12" i="9"/>
  <c r="H12" i="9"/>
  <c r="D12" i="9"/>
  <c r="K12" i="9" s="1"/>
  <c r="B12" i="9"/>
  <c r="A12" i="9"/>
  <c r="C12" i="9" s="1"/>
  <c r="J11" i="9"/>
  <c r="H11" i="9"/>
  <c r="D11" i="9"/>
  <c r="K11" i="9" s="1"/>
  <c r="B11" i="9"/>
  <c r="A11" i="9"/>
  <c r="G11" i="9" s="1"/>
  <c r="L11" i="9" s="1"/>
  <c r="J10" i="9"/>
  <c r="H10" i="9"/>
  <c r="D10" i="9"/>
  <c r="K10" i="9" s="1"/>
  <c r="B10" i="9"/>
  <c r="A10" i="9"/>
  <c r="C10" i="9" s="1"/>
  <c r="J9" i="9"/>
  <c r="H9" i="9"/>
  <c r="D9" i="9"/>
  <c r="K9" i="9" s="1"/>
  <c r="B9" i="9"/>
  <c r="A9" i="9"/>
  <c r="G9" i="9" s="1"/>
  <c r="L9" i="9" s="1"/>
  <c r="J8" i="9"/>
  <c r="H8" i="9"/>
  <c r="D8" i="9"/>
  <c r="K8" i="9" s="1"/>
  <c r="B8" i="9"/>
  <c r="A8" i="9"/>
  <c r="C8" i="9" s="1"/>
  <c r="J7" i="9"/>
  <c r="H7" i="9"/>
  <c r="D7" i="9"/>
  <c r="K7" i="9" s="1"/>
  <c r="B7" i="9"/>
  <c r="A7" i="9"/>
  <c r="G7" i="9" s="1"/>
  <c r="L7" i="9" s="1"/>
  <c r="J6" i="9"/>
  <c r="H6" i="9"/>
  <c r="D6" i="9"/>
  <c r="K6" i="9" s="1"/>
  <c r="B6" i="9"/>
  <c r="A6" i="9"/>
  <c r="C6" i="9" s="1"/>
  <c r="J5" i="9"/>
  <c r="H5" i="9"/>
  <c r="D5" i="9"/>
  <c r="K5" i="9" s="1"/>
  <c r="B5" i="9"/>
  <c r="A5" i="9"/>
  <c r="G5" i="9" s="1"/>
  <c r="L5" i="9" s="1"/>
  <c r="J4" i="9"/>
  <c r="H4" i="9"/>
  <c r="D4" i="9"/>
  <c r="K4" i="9" s="1"/>
  <c r="B4" i="9"/>
  <c r="A4" i="9"/>
  <c r="C4" i="9" s="1"/>
  <c r="J3" i="9"/>
  <c r="H3" i="9"/>
  <c r="D3" i="9"/>
  <c r="K3" i="9" s="1"/>
  <c r="B3" i="9"/>
  <c r="A3" i="9"/>
  <c r="G3" i="9" s="1"/>
  <c r="L3" i="9" s="1"/>
  <c r="J2" i="9"/>
  <c r="H2" i="9"/>
  <c r="B22" i="3" s="1"/>
  <c r="D2" i="9"/>
  <c r="K2" i="9" s="1"/>
  <c r="B2" i="9"/>
  <c r="A2" i="9"/>
  <c r="C2" i="9" s="1"/>
  <c r="F651" i="6"/>
  <c r="F650" i="6"/>
  <c r="F649" i="6"/>
  <c r="F648" i="6"/>
  <c r="F647" i="6"/>
  <c r="F646" i="6"/>
  <c r="F645" i="6"/>
  <c r="F644" i="6"/>
  <c r="F643" i="6"/>
  <c r="F642" i="6"/>
  <c r="F641" i="6"/>
  <c r="F640" i="6"/>
  <c r="F639" i="6"/>
  <c r="F638" i="6"/>
  <c r="F637" i="6"/>
  <c r="F636" i="6"/>
  <c r="F635" i="6"/>
  <c r="F634" i="6"/>
  <c r="F633" i="6"/>
  <c r="F632" i="6"/>
  <c r="F631" i="6"/>
  <c r="F630" i="6"/>
  <c r="F629" i="6"/>
  <c r="F628" i="6"/>
  <c r="F627" i="6"/>
  <c r="F626" i="6"/>
  <c r="F625" i="6"/>
  <c r="F624" i="6"/>
  <c r="F623" i="6"/>
  <c r="F622" i="6"/>
  <c r="F621" i="6"/>
  <c r="F620" i="6"/>
  <c r="F619" i="6"/>
  <c r="F618" i="6"/>
  <c r="F617" i="6"/>
  <c r="F616" i="6"/>
  <c r="F615" i="6"/>
  <c r="F614" i="6"/>
  <c r="F613" i="6"/>
  <c r="F612" i="6"/>
  <c r="F611" i="6"/>
  <c r="F610" i="6"/>
  <c r="F609" i="6"/>
  <c r="F608" i="6"/>
  <c r="F607" i="6"/>
  <c r="F606" i="6"/>
  <c r="F605" i="6"/>
  <c r="F604" i="6"/>
  <c r="F603" i="6"/>
  <c r="F602" i="6"/>
  <c r="F601" i="6"/>
  <c r="F600" i="6"/>
  <c r="F599" i="6"/>
  <c r="F598" i="6"/>
  <c r="F597" i="6"/>
  <c r="F596" i="6"/>
  <c r="F595" i="6"/>
  <c r="F594" i="6"/>
  <c r="F593" i="6"/>
  <c r="F592" i="6"/>
  <c r="F591" i="6"/>
  <c r="F590" i="6"/>
  <c r="F589" i="6"/>
  <c r="F588" i="6"/>
  <c r="F587" i="6"/>
  <c r="F586" i="6"/>
  <c r="F585" i="6"/>
  <c r="F584" i="6"/>
  <c r="F583" i="6"/>
  <c r="F582" i="6"/>
  <c r="F581" i="6"/>
  <c r="F580" i="6"/>
  <c r="F579" i="6"/>
  <c r="F578" i="6"/>
  <c r="F577" i="6"/>
  <c r="F576" i="6"/>
  <c r="F575" i="6"/>
  <c r="F574" i="6"/>
  <c r="F573" i="6"/>
  <c r="F572" i="6"/>
  <c r="F571" i="6"/>
  <c r="F570" i="6"/>
  <c r="F569" i="6"/>
  <c r="F568" i="6"/>
  <c r="F567" i="6"/>
  <c r="F566" i="6"/>
  <c r="F565" i="6"/>
  <c r="F564" i="6"/>
  <c r="F563" i="6"/>
  <c r="F562" i="6"/>
  <c r="F561" i="6"/>
  <c r="F560" i="6"/>
  <c r="F559" i="6"/>
  <c r="F558" i="6"/>
  <c r="F557" i="6"/>
  <c r="F556" i="6"/>
  <c r="F555" i="6"/>
  <c r="F554" i="6"/>
  <c r="F553" i="6"/>
  <c r="F552" i="6"/>
  <c r="F551" i="6"/>
  <c r="F550" i="6"/>
  <c r="F549" i="6"/>
  <c r="F548" i="6"/>
  <c r="F547" i="6"/>
  <c r="F546" i="6"/>
  <c r="F545" i="6"/>
  <c r="F544" i="6"/>
  <c r="F543" i="6"/>
  <c r="F542" i="6"/>
  <c r="F541" i="6"/>
  <c r="F540" i="6"/>
  <c r="F539" i="6"/>
  <c r="F538" i="6"/>
  <c r="F537" i="6"/>
  <c r="F536" i="6"/>
  <c r="F535" i="6"/>
  <c r="F534" i="6"/>
  <c r="F533" i="6"/>
  <c r="F532" i="6"/>
  <c r="F531" i="6"/>
  <c r="F530" i="6"/>
  <c r="F529" i="6"/>
  <c r="F528" i="6"/>
  <c r="F527" i="6"/>
  <c r="F526" i="6"/>
  <c r="F525" i="6"/>
  <c r="F524" i="6"/>
  <c r="F523" i="6"/>
  <c r="F522" i="6"/>
  <c r="F521" i="6"/>
  <c r="F520" i="6"/>
  <c r="F519" i="6"/>
  <c r="F518" i="6"/>
  <c r="F517" i="6"/>
  <c r="F516" i="6"/>
  <c r="F515" i="6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B32" i="3"/>
  <c r="B31" i="3"/>
  <c r="B30" i="3"/>
  <c r="B29" i="3"/>
  <c r="B28" i="3"/>
  <c r="B27" i="3"/>
  <c r="C15" i="3"/>
  <c r="B15" i="3"/>
  <c r="C14" i="3"/>
  <c r="B14" i="3"/>
  <c r="C13" i="3"/>
  <c r="B13" i="3"/>
  <c r="C12" i="3"/>
  <c r="B12" i="3"/>
  <c r="C11" i="3"/>
  <c r="B11" i="3"/>
  <c r="C10" i="3"/>
  <c r="B10" i="3"/>
  <c r="E5" i="3"/>
  <c r="C5" i="3"/>
  <c r="A5" i="3"/>
  <c r="B2" i="3"/>
  <c r="D19" i="3" l="1"/>
  <c r="B19" i="3"/>
  <c r="D21" i="3"/>
  <c r="B21" i="3"/>
  <c r="D23" i="3"/>
  <c r="J31" i="9"/>
  <c r="B23" i="3"/>
  <c r="B20" i="3"/>
  <c r="D22" i="3"/>
  <c r="I3" i="9"/>
  <c r="E4" i="9"/>
  <c r="I5" i="9"/>
  <c r="E6" i="9"/>
  <c r="I7" i="9"/>
  <c r="E8" i="9"/>
  <c r="I9" i="9"/>
  <c r="E10" i="9"/>
  <c r="I11" i="9"/>
  <c r="E12" i="9"/>
  <c r="I13" i="9"/>
  <c r="E14" i="9"/>
  <c r="I15" i="9"/>
  <c r="E16" i="9"/>
  <c r="I17" i="9"/>
  <c r="E18" i="9"/>
  <c r="I19" i="9"/>
  <c r="E20" i="9"/>
  <c r="I21" i="9"/>
  <c r="E22" i="9"/>
  <c r="I23" i="9"/>
  <c r="E24" i="9"/>
  <c r="I25" i="9"/>
  <c r="E26" i="9"/>
  <c r="I27" i="9"/>
  <c r="E28" i="9"/>
  <c r="I29" i="9"/>
  <c r="E30" i="9"/>
  <c r="I31" i="9"/>
  <c r="B31" i="9"/>
  <c r="E38" i="9" s="1"/>
  <c r="E37" i="9"/>
  <c r="D20" i="3"/>
  <c r="G2" i="9"/>
  <c r="C3" i="9"/>
  <c r="C22" i="3" s="1"/>
  <c r="G4" i="9"/>
  <c r="L4" i="9" s="1"/>
  <c r="C5" i="9"/>
  <c r="G6" i="9"/>
  <c r="L6" i="9" s="1"/>
  <c r="C7" i="9"/>
  <c r="G8" i="9"/>
  <c r="L8" i="9" s="1"/>
  <c r="C9" i="9"/>
  <c r="G10" i="9"/>
  <c r="L10" i="9" s="1"/>
  <c r="C11" i="9"/>
  <c r="G12" i="9"/>
  <c r="L12" i="9" s="1"/>
  <c r="C13" i="9"/>
  <c r="G14" i="9"/>
  <c r="L14" i="9" s="1"/>
  <c r="C15" i="9"/>
  <c r="G16" i="9"/>
  <c r="L16" i="9" s="1"/>
  <c r="C17" i="9"/>
  <c r="G18" i="9"/>
  <c r="L18" i="9" s="1"/>
  <c r="C19" i="9"/>
  <c r="G20" i="9"/>
  <c r="L20" i="9" s="1"/>
  <c r="C21" i="9"/>
  <c r="G22" i="9"/>
  <c r="L22" i="9" s="1"/>
  <c r="C23" i="9"/>
  <c r="G24" i="9"/>
  <c r="L24" i="9" s="1"/>
  <c r="C25" i="9"/>
  <c r="G26" i="9"/>
  <c r="L26" i="9" s="1"/>
  <c r="C27" i="9"/>
  <c r="G28" i="9"/>
  <c r="L28" i="9" s="1"/>
  <c r="C29" i="9"/>
  <c r="G30" i="9"/>
  <c r="L30" i="9" s="1"/>
  <c r="C31" i="9"/>
  <c r="B38" i="9"/>
  <c r="D31" i="9"/>
  <c r="K31" i="9" s="1"/>
  <c r="I5" i="3"/>
  <c r="C21" i="3"/>
  <c r="I2" i="9"/>
  <c r="E3" i="9"/>
  <c r="I4" i="9"/>
  <c r="E5" i="9"/>
  <c r="I6" i="9"/>
  <c r="E7" i="9"/>
  <c r="I8" i="9"/>
  <c r="E9" i="9"/>
  <c r="I10" i="9"/>
  <c r="E11" i="9"/>
  <c r="I12" i="9"/>
  <c r="E13" i="9"/>
  <c r="I14" i="9"/>
  <c r="E15" i="9"/>
  <c r="I16" i="9"/>
  <c r="E17" i="9"/>
  <c r="I18" i="9"/>
  <c r="E19" i="9"/>
  <c r="I20" i="9"/>
  <c r="E21" i="9"/>
  <c r="I22" i="9"/>
  <c r="E23" i="9"/>
  <c r="I24" i="9"/>
  <c r="E25" i="9"/>
  <c r="I26" i="9"/>
  <c r="E27" i="9"/>
  <c r="I28" i="9"/>
  <c r="E29" i="9"/>
  <c r="I30" i="9"/>
  <c r="E31" i="9"/>
  <c r="B39" i="9"/>
  <c r="C19" i="3"/>
  <c r="G31" i="9"/>
  <c r="L31" i="9" s="1"/>
  <c r="D11" i="3" l="1"/>
  <c r="D15" i="3"/>
  <c r="E11" i="3"/>
  <c r="B41" i="9"/>
  <c r="B40" i="9"/>
  <c r="D14" i="3"/>
  <c r="E13" i="3"/>
  <c r="C20" i="3"/>
  <c r="E10" i="3"/>
  <c r="E15" i="3"/>
  <c r="L2" i="9"/>
  <c r="B36" i="9"/>
  <c r="G5" i="3"/>
  <c r="B37" i="9"/>
  <c r="E12" i="3"/>
  <c r="D10" i="3"/>
  <c r="C23" i="3"/>
  <c r="E14" i="3"/>
  <c r="D12" i="3"/>
  <c r="B35" i="9"/>
  <c r="D13" i="3"/>
</calcChain>
</file>

<file path=xl/sharedStrings.xml><?xml version="1.0" encoding="utf-8"?>
<sst xmlns="http://schemas.openxmlformats.org/spreadsheetml/2006/main" count="3544" uniqueCount="387">
  <si>
    <t>Departments</t>
  </si>
  <si>
    <t>Designations</t>
  </si>
  <si>
    <t>Status</t>
  </si>
  <si>
    <t>Leave Type</t>
  </si>
  <si>
    <t>Leave Status</t>
  </si>
  <si>
    <t>Gender</t>
  </si>
  <si>
    <t>Sales</t>
  </si>
  <si>
    <t>Executive</t>
  </si>
  <si>
    <t>Active</t>
  </si>
  <si>
    <t>Sick Leave</t>
  </si>
  <si>
    <t>Approved</t>
  </si>
  <si>
    <t>Male</t>
  </si>
  <si>
    <t>Marketing</t>
  </si>
  <si>
    <t>Senior Executive</t>
  </si>
  <si>
    <t>Resigned</t>
  </si>
  <si>
    <t>Casual Leave</t>
  </si>
  <si>
    <t>Pending</t>
  </si>
  <si>
    <t>Female</t>
  </si>
  <si>
    <t>Finance</t>
  </si>
  <si>
    <t>Team Lead</t>
  </si>
  <si>
    <t>Earned Leave</t>
  </si>
  <si>
    <t>Rejected</t>
  </si>
  <si>
    <t>IT</t>
  </si>
  <si>
    <t>Manager</t>
  </si>
  <si>
    <t>Maternity/Paternity</t>
  </si>
  <si>
    <t>HR</t>
  </si>
  <si>
    <t>Senior Manager</t>
  </si>
  <si>
    <t>Operations</t>
  </si>
  <si>
    <t>Employee ID</t>
  </si>
  <si>
    <t>Employee Name</t>
  </si>
  <si>
    <t>Department</t>
  </si>
  <si>
    <t>Designation</t>
  </si>
  <si>
    <t>City</t>
  </si>
  <si>
    <t>Date of Birth</t>
  </si>
  <si>
    <t>Joining Date</t>
  </si>
  <si>
    <t>Exit Date</t>
  </si>
  <si>
    <t>Base Salary ($)</t>
  </si>
  <si>
    <t>Email</t>
  </si>
  <si>
    <t>Phone</t>
  </si>
  <si>
    <t>E001</t>
  </si>
  <si>
    <t>Rahim</t>
  </si>
  <si>
    <t>Dhaka</t>
  </si>
  <si>
    <t>rahim1@gmail.com</t>
  </si>
  <si>
    <t>1731137934</t>
  </si>
  <si>
    <t>E002</t>
  </si>
  <si>
    <t>Nadia</t>
  </si>
  <si>
    <t>Chattogram</t>
  </si>
  <si>
    <t>nadia2@gmail.com</t>
  </si>
  <si>
    <t>1927912004</t>
  </si>
  <si>
    <t>E003</t>
  </si>
  <si>
    <t>Karim</t>
  </si>
  <si>
    <t>Khulna</t>
  </si>
  <si>
    <t>karim3@gmail.com</t>
  </si>
  <si>
    <t>1912966210</t>
  </si>
  <si>
    <t>E004</t>
  </si>
  <si>
    <t>Jannat</t>
  </si>
  <si>
    <t>Rajshahi</t>
  </si>
  <si>
    <t>jannat4@gmail.com</t>
  </si>
  <si>
    <t>1797026737</t>
  </si>
  <si>
    <t>E005</t>
  </si>
  <si>
    <t>Sumon</t>
  </si>
  <si>
    <t>Sylhet</t>
  </si>
  <si>
    <t>sumon5@gmail.com</t>
  </si>
  <si>
    <t>1731998134</t>
  </si>
  <si>
    <t>E006</t>
  </si>
  <si>
    <t>Tania</t>
  </si>
  <si>
    <t>Barishal</t>
  </si>
  <si>
    <t>tania6@gmail.com</t>
  </si>
  <si>
    <t>1943301510</t>
  </si>
  <si>
    <t>E007</t>
  </si>
  <si>
    <t>Rafi</t>
  </si>
  <si>
    <t>Rangpur</t>
  </si>
  <si>
    <t>rafi7@gmail.com</t>
  </si>
  <si>
    <t>1861195018</t>
  </si>
  <si>
    <t>E008</t>
  </si>
  <si>
    <t>Nabila</t>
  </si>
  <si>
    <t>Mymensingh</t>
  </si>
  <si>
    <t>nabila8@gmail.com</t>
  </si>
  <si>
    <t>1974841847</t>
  </si>
  <si>
    <t>E009</t>
  </si>
  <si>
    <t>Fahim</t>
  </si>
  <si>
    <t>fahim9@gmail.com</t>
  </si>
  <si>
    <t>1999614639</t>
  </si>
  <si>
    <t>E010</t>
  </si>
  <si>
    <t>Mim</t>
  </si>
  <si>
    <t>mim10@gmail.com</t>
  </si>
  <si>
    <t>1736916826</t>
  </si>
  <si>
    <t>E011</t>
  </si>
  <si>
    <t>Hasan</t>
  </si>
  <si>
    <t>hasan11@gmail.com</t>
  </si>
  <si>
    <t>1939251566</t>
  </si>
  <si>
    <t>E012</t>
  </si>
  <si>
    <t>Liza</t>
  </si>
  <si>
    <t>liza12@gmail.com</t>
  </si>
  <si>
    <t>1762865327</t>
  </si>
  <si>
    <t>E013</t>
  </si>
  <si>
    <t>Arif</t>
  </si>
  <si>
    <t>arif13@gmail.com</t>
  </si>
  <si>
    <t>1966560007</t>
  </si>
  <si>
    <t>E014</t>
  </si>
  <si>
    <t>Sadia</t>
  </si>
  <si>
    <t>sadia14@gmail.com</t>
  </si>
  <si>
    <t>1849476169</t>
  </si>
  <si>
    <t>E015</t>
  </si>
  <si>
    <t>Nayeem</t>
  </si>
  <si>
    <t>nayeem15@gmail.com</t>
  </si>
  <si>
    <t>1960362383</t>
  </si>
  <si>
    <t>E016</t>
  </si>
  <si>
    <t>Nusrat</t>
  </si>
  <si>
    <t>nusrat16@gmail.com</t>
  </si>
  <si>
    <t>1871053342</t>
  </si>
  <si>
    <t>E017</t>
  </si>
  <si>
    <t>Sohan</t>
  </si>
  <si>
    <t>sohan17@gmail.com</t>
  </si>
  <si>
    <t>1755586053</t>
  </si>
  <si>
    <t>E018</t>
  </si>
  <si>
    <t>Sharmin</t>
  </si>
  <si>
    <t>sharmin18@gmail.com</t>
  </si>
  <si>
    <t>1882564914</t>
  </si>
  <si>
    <t>E019</t>
  </si>
  <si>
    <t>Tanvir</t>
  </si>
  <si>
    <t>tanvir19@gmail.com</t>
  </si>
  <si>
    <t>1811643747</t>
  </si>
  <si>
    <t>E020</t>
  </si>
  <si>
    <t>Popy</t>
  </si>
  <si>
    <t>popy20@gmail.com</t>
  </si>
  <si>
    <t>1761929944</t>
  </si>
  <si>
    <t>E021</t>
  </si>
  <si>
    <t>Imran</t>
  </si>
  <si>
    <t>imran21@gmail.com</t>
  </si>
  <si>
    <t>1786671693</t>
  </si>
  <si>
    <t>E022</t>
  </si>
  <si>
    <t>Ruma</t>
  </si>
  <si>
    <t>ruma22@gmail.com</t>
  </si>
  <si>
    <t>1983526596</t>
  </si>
  <si>
    <t>E023</t>
  </si>
  <si>
    <t>Rakib</t>
  </si>
  <si>
    <t>rakib23@gmail.com</t>
  </si>
  <si>
    <t>1819610948</t>
  </si>
  <si>
    <t>E024</t>
  </si>
  <si>
    <t>Shila</t>
  </si>
  <si>
    <t>shila24@gmail.com</t>
  </si>
  <si>
    <t>1828520276</t>
  </si>
  <si>
    <t>E025</t>
  </si>
  <si>
    <t>Shakil</t>
  </si>
  <si>
    <t>shakil25@gmail.com</t>
  </si>
  <si>
    <t>1850011687</t>
  </si>
  <si>
    <t>E026</t>
  </si>
  <si>
    <t>Mitu</t>
  </si>
  <si>
    <t>mitu26@gmail.com</t>
  </si>
  <si>
    <t>1895762400</t>
  </si>
  <si>
    <t>E027</t>
  </si>
  <si>
    <t>Emon</t>
  </si>
  <si>
    <t>emon27@gmail.com</t>
  </si>
  <si>
    <t>1701024518</t>
  </si>
  <si>
    <t>E028</t>
  </si>
  <si>
    <t>Priya</t>
  </si>
  <si>
    <t>priya28@gmail.com</t>
  </si>
  <si>
    <t>1807008788</t>
  </si>
  <si>
    <t>E029</t>
  </si>
  <si>
    <t>Rasel</t>
  </si>
  <si>
    <t>rasel29@gmail.com</t>
  </si>
  <si>
    <t>1948657421</t>
  </si>
  <si>
    <t>E030</t>
  </si>
  <si>
    <t>Tasnim</t>
  </si>
  <si>
    <t>tasnim30@gmail.com</t>
  </si>
  <si>
    <t>1954668437</t>
  </si>
  <si>
    <t>HR MANAGEMENT DASHBOARD</t>
  </si>
  <si>
    <t>Report Date:</t>
  </si>
  <si>
    <t>Active Employees</t>
  </si>
  <si>
    <t>Resigned (Attrition)</t>
  </si>
  <si>
    <t>Attrition Rate %</t>
  </si>
  <si>
    <t>Avg Attendance %</t>
  </si>
  <si>
    <t>Avg Performance Rating</t>
  </si>
  <si>
    <t>DEPARTMENT-WISE SUMMARY</t>
  </si>
  <si>
    <t>Headcount (Active)</t>
  </si>
  <si>
    <t>Avg Salary ($)</t>
  </si>
  <si>
    <t>Avg Rating</t>
  </si>
  <si>
    <t>TOP 5 PERFORMERS (by Rating)</t>
  </si>
  <si>
    <t>Rank</t>
  </si>
  <si>
    <t>RECRUITMENT PIPELINE</t>
  </si>
  <si>
    <t>Stage</t>
  </si>
  <si>
    <t>Candidate Count</t>
  </si>
  <si>
    <t>Applied</t>
  </si>
  <si>
    <t>Screening</t>
  </si>
  <si>
    <t>Interview</t>
  </si>
  <si>
    <t>Offer</t>
  </si>
  <si>
    <t>Hired</t>
  </si>
  <si>
    <t>Month</t>
  </si>
  <si>
    <t>Days Present</t>
  </si>
  <si>
    <t>Working Days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</si>
  <si>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</si>
  <si>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</si>
  <si>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</si>
  <si>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</si>
  <si>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</si>
  <si>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</si>
  <si>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</si>
  <si>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</si>
  <si>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</si>
  <si>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</si>
  <si>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</si>
  <si>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</si>
  <si>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</si>
  <si>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</si>
  <si>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</si>
  <si>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</si>
  <si>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</si>
  <si>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</si>
  <si>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</si>
  <si>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</si>
  <si>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</si>
  <si>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</si>
  <si>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</si>
  <si>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</si>
  <si>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Leave ID</t>
  </si>
  <si>
    <t>Start Date</t>
  </si>
  <si>
    <t>End Date</t>
  </si>
  <si>
    <t>Days</t>
  </si>
  <si>
    <t>L0001</t>
  </si>
  <si>
    <t>L0002</t>
  </si>
  <si>
    <t>L0003</t>
  </si>
  <si>
    <t>L0004</t>
  </si>
  <si>
    <t>L0005</t>
  </si>
  <si>
    <t>L0006</t>
  </si>
  <si>
    <t>L0007</t>
  </si>
  <si>
    <t>L0008</t>
  </si>
  <si>
    <t>L0009</t>
  </si>
  <si>
    <t>L0010</t>
  </si>
  <si>
    <t>L0011</t>
  </si>
  <si>
    <t>L0012</t>
  </si>
  <si>
    <t>L0013</t>
  </si>
  <si>
    <t>L0014</t>
  </si>
  <si>
    <t>L0015</t>
  </si>
  <si>
    <t>L0016</t>
  </si>
  <si>
    <t>L0017</t>
  </si>
  <si>
    <t>L0018</t>
  </si>
  <si>
    <t>L0019</t>
  </si>
  <si>
    <t>L0020</t>
  </si>
  <si>
    <t>L0021</t>
  </si>
  <si>
    <t>L0022</t>
  </si>
  <si>
    <t>L0023</t>
  </si>
  <si>
    <t>L0024</t>
  </si>
  <si>
    <t>L0025</t>
  </si>
  <si>
    <t>L0026</t>
  </si>
  <si>
    <t>L0027</t>
  </si>
  <si>
    <t>L0028</t>
  </si>
  <si>
    <t>L0029</t>
  </si>
  <si>
    <t>L0030</t>
  </si>
  <si>
    <t>L0031</t>
  </si>
  <si>
    <t>L0032</t>
  </si>
  <si>
    <t>L0033</t>
  </si>
  <si>
    <t>L0034</t>
  </si>
  <si>
    <t>L0035</t>
  </si>
  <si>
    <t>L0036</t>
  </si>
  <si>
    <t>L0037</t>
  </si>
  <si>
    <t>L0038</t>
  </si>
  <si>
    <t>L0039</t>
  </si>
  <si>
    <t>L0040</t>
  </si>
  <si>
    <t>L0041</t>
  </si>
  <si>
    <t>L0042</t>
  </si>
  <si>
    <t>L0043</t>
  </si>
  <si>
    <t>L0044</t>
  </si>
  <si>
    <t>L0045</t>
  </si>
  <si>
    <t>L0046</t>
  </si>
  <si>
    <t>L0047</t>
  </si>
  <si>
    <t>L0048</t>
  </si>
  <si>
    <t>L0049</t>
  </si>
  <si>
    <t>L0050</t>
  </si>
  <si>
    <t>L0051</t>
  </si>
  <si>
    <t>L0052</t>
  </si>
  <si>
    <t>L0053</t>
  </si>
  <si>
    <t>L0054</t>
  </si>
  <si>
    <t>L0055</t>
  </si>
  <si>
    <t>L0056</t>
  </si>
  <si>
    <t>L0057</t>
  </si>
  <si>
    <t>L0058</t>
  </si>
  <si>
    <t>L0059</t>
  </si>
  <si>
    <t>L0060</t>
  </si>
  <si>
    <t>L0061</t>
  </si>
  <si>
    <t>L0062</t>
  </si>
  <si>
    <t>L0063</t>
  </si>
  <si>
    <t>L0064</t>
  </si>
  <si>
    <t>L0065</t>
  </si>
  <si>
    <t>L0066</t>
  </si>
  <si>
    <t>L0067</t>
  </si>
  <si>
    <t>L0068</t>
  </si>
  <si>
    <t>L0069</t>
  </si>
  <si>
    <t>L0070</t>
  </si>
  <si>
    <t>L0071</t>
  </si>
  <si>
    <t>L0072</t>
  </si>
  <si>
    <t>L0073</t>
  </si>
  <si>
    <t>L0074</t>
  </si>
  <si>
    <t>L0075</t>
  </si>
  <si>
    <t>L0076</t>
  </si>
  <si>
    <t>L0077</t>
  </si>
  <si>
    <t>L0078</t>
  </si>
  <si>
    <t>L0079</t>
  </si>
  <si>
    <t>Basic Salary ($)</t>
  </si>
  <si>
    <t>Bonus ($)</t>
  </si>
  <si>
    <t>Deduction ($)</t>
  </si>
  <si>
    <t>Net Pay ($)</t>
  </si>
  <si>
    <t>Year</t>
  </si>
  <si>
    <t>Rating (1-5)</t>
  </si>
  <si>
    <t>Reviewer Comments</t>
  </si>
  <si>
    <t>Consistently exceeds targets</t>
  </si>
  <si>
    <t>Strong technical skills</t>
  </si>
  <si>
    <t>Requires more initiative</t>
  </si>
  <si>
    <t>Excellent leadership shown</t>
  </si>
  <si>
    <t>Needs to improve punctuality</t>
  </si>
  <si>
    <t>Meets expectations</t>
  </si>
  <si>
    <t>Good client handling</t>
  </si>
  <si>
    <t>Great team player</t>
  </si>
  <si>
    <t>Candidate ID</t>
  </si>
  <si>
    <t>Candidate Name</t>
  </si>
  <si>
    <t>Position Applied</t>
  </si>
  <si>
    <t>Application Date</t>
  </si>
  <si>
    <t>C001</t>
  </si>
  <si>
    <t>Farhan</t>
  </si>
  <si>
    <t>Sales Executive</t>
  </si>
  <si>
    <t>C002</t>
  </si>
  <si>
    <t>C003</t>
  </si>
  <si>
    <t>Rumana</t>
  </si>
  <si>
    <t>IT Executive</t>
  </si>
  <si>
    <t>C004</t>
  </si>
  <si>
    <t>Imon</t>
  </si>
  <si>
    <t>Marketing Executive</t>
  </si>
  <si>
    <t>C005</t>
  </si>
  <si>
    <t>Suborna</t>
  </si>
  <si>
    <t>C006</t>
  </si>
  <si>
    <t>Zahid</t>
  </si>
  <si>
    <t>C007</t>
  </si>
  <si>
    <t>Momtaz</t>
  </si>
  <si>
    <t>C008</t>
  </si>
  <si>
    <t>Anika</t>
  </si>
  <si>
    <t>C009</t>
  </si>
  <si>
    <t>Bappy</t>
  </si>
  <si>
    <t>Finance Executive</t>
  </si>
  <si>
    <t>C010</t>
  </si>
  <si>
    <t>Sadman</t>
  </si>
  <si>
    <t>C011</t>
  </si>
  <si>
    <t>Mahi</t>
  </si>
  <si>
    <t>C012</t>
  </si>
  <si>
    <t>Rafsan</t>
  </si>
  <si>
    <t>C013</t>
  </si>
  <si>
    <t>Turin</t>
  </si>
  <si>
    <t>C014</t>
  </si>
  <si>
    <t>Oyshee</t>
  </si>
  <si>
    <t>C015</t>
  </si>
  <si>
    <t>Nabil</t>
  </si>
  <si>
    <t>C016</t>
  </si>
  <si>
    <t>Rifat</t>
  </si>
  <si>
    <t>C017</t>
  </si>
  <si>
    <t>Sristi</t>
  </si>
  <si>
    <t>C018</t>
  </si>
  <si>
    <t>Kabbo</t>
  </si>
  <si>
    <t>C019</t>
  </si>
  <si>
    <t>Anisha</t>
  </si>
  <si>
    <t>C020</t>
  </si>
  <si>
    <t>Tanjil</t>
  </si>
  <si>
    <t>HR Executive</t>
  </si>
  <si>
    <t>Tenure (Years)</t>
  </si>
  <si>
    <t>Total Leave Days (Approved)</t>
  </si>
  <si>
    <t>Attendance %</t>
  </si>
  <si>
    <t>Total Net Pay ($)</t>
  </si>
  <si>
    <t>Performance Category</t>
  </si>
  <si>
    <t>Attrition Flag</t>
  </si>
  <si>
    <t>Bonus Eligible</t>
  </si>
  <si>
    <t>HR STATISTICAL INSIGHTS</t>
  </si>
  <si>
    <t>DATA QUALITY CHECK</t>
  </si>
  <si>
    <t>Metric</t>
  </si>
  <si>
    <t>Value</t>
  </si>
  <si>
    <t>Check</t>
  </si>
  <si>
    <t>Result</t>
  </si>
  <si>
    <t>Median Tenure (Years)</t>
  </si>
  <si>
    <t>Any blank Employee ID?</t>
  </si>
  <si>
    <t>Median Attendance %</t>
  </si>
  <si>
    <t>Salary column all numeric?</t>
  </si>
  <si>
    <t>StDev Attendance % (Sample)</t>
  </si>
  <si>
    <t>Any lookup errors in Name col?</t>
  </si>
  <si>
    <t>Highest Performer Rating</t>
  </si>
  <si>
    <t>Any #N/A in Name col?</t>
  </si>
  <si>
    <t>Lowest Performer Rating</t>
  </si>
  <si>
    <t>Any blank Department?</t>
  </si>
  <si>
    <t>75th Percentile Net Pay</t>
  </si>
  <si>
    <t>Quartile 1 Net Pay</t>
  </si>
  <si>
    <t>MONTHLY ATTENDANCE TREND (Company-wide, sample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</si>
</sst>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"/>
    <numFmt numFmtId="165" formatCode="\$#,##0"/>
    <numFmt numFmtId="166" formatCode="dd\-mmm\-yyyy"/>
    <numFmt numFmtId="167" formatCode="0.0%"/>
    <numFmt numFmtId="168" formatCode="0.0"/>
  </numFmts>
  <fonts count="13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  <font>
      <b/>
      <sz val="18"/>
      <color rgb="FF1E7145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1E7145"/>
      <name val="Arial"/>
      <family val="2"/>
    </font>
    <font>
      <b/>
      <sz val="16"/>
      <color rgb="FF1B1B1B"/>
      <name val="Arial"/>
      <family val="2"/>
    </font>
    <font>
      <b/>
      <sz val="12"/>
      <color rgb="FF1E7145"/>
      <name val="Arial"/>
      <family val="2"/>
    </font>
    <font>
      <b/>
      <sz val="11"/>
      <color rgb="FF1B1B1B"/>
      <name val="Arial"/>
      <family val="2"/>
    </font>
    <font>
      <sz val="11"/>
      <color theme="1"/>
      <name val="Calibri"/>
      <family val="2"/>
      <charset val="1"/>
    </font>
    <font>
      <i/>
      <sz val="9"/>
      <color rgb="FFC0392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E9F5EE"/>
        <bgColor rgb="FFF9F9F9"/>
      </patternFill>
    </fill>
    <fill>
      <patternFill patternType="solid">
        <fgColor rgb="FFB7DEC7"/>
        <bgColor rgb="FFD9D9D9"/>
      </patternFill>
    </fill>
    <fill>
      <patternFill patternType="solid">
        <fgColor rgb="FFFFF2A6"/>
        <bgColor rgb="FFE9F5E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5" fillId="0" borderId="0" xfId="0" applyFont="1"/>
    <xf numFmtId="0" fontId="9" fillId="0" borderId="0" xfId="0" applyFont="1"/>
    <xf numFmtId="0" fontId="6" fillId="0" borderId="1" xfId="0" applyFont="1" applyBorder="1"/>
    <xf numFmtId="165" fontId="6" fillId="0" borderId="1" xfId="0" applyNumberFormat="1" applyFont="1" applyBorder="1"/>
    <xf numFmtId="167" fontId="6" fillId="0" borderId="1" xfId="0" applyNumberFormat="1" applyFont="1" applyBorder="1"/>
    <xf numFmtId="2" fontId="6" fillId="0" borderId="1" xfId="0" applyNumberFormat="1" applyFont="1" applyBorder="1"/>
    <xf numFmtId="165" fontId="0" fillId="0" borderId="1" xfId="0" applyNumberFormat="1" applyBorder="1"/>
    <xf numFmtId="0" fontId="10" fillId="4" borderId="1" xfId="0" applyFont="1" applyFill="1" applyBorder="1"/>
    <xf numFmtId="168" fontId="6" fillId="0" borderId="1" xfId="0" applyNumberFormat="1" applyFont="1" applyBorder="1"/>
    <xf numFmtId="10" fontId="6" fillId="0" borderId="1" xfId="0" applyNumberFormat="1" applyFont="1" applyBorder="1"/>
    <xf numFmtId="1" fontId="8" fillId="3" borderId="1" xfId="0" applyNumberFormat="1" applyFont="1" applyFill="1" applyBorder="1" applyAlignment="1">
      <alignment horizontal="center" vertical="center"/>
    </xf>
    <xf numFmtId="167" fontId="8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7" fillId="3" borderId="1" xfId="0" applyFont="1" applyFill="1" applyBorder="1" applyAlignment="1">
      <alignment horizontal="center"/>
    </xf>
    <xf numFmtId="9" fontId="0" fillId="5" borderId="0" xfId="1" applyFont="1" applyFill="1"/>
    <xf numFmtId="0" fontId="2" fillId="2" borderId="0" xfId="0" applyFont="1" applyFill="1" applyAlignment="1">
      <alignment horizontal="center"/>
    </xf>
    <xf numFmtId="0" fontId="1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0" xfId="0" applyFont="1" applyFill="1" applyAlignment="1">
      <alignment horizontal="center"/>
    </xf>
    <xf numFmtId="166" fontId="6" fillId="6" borderId="0" xfId="0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B7DEC7"/>
      <rgbColor rgb="FF878787"/>
      <rgbColor rgb="FF9999FF"/>
      <rgbColor rgb="FFC0504D"/>
      <rgbColor rgb="FFF9F9F9"/>
      <rgbColor rgb="FFE9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Active Headcount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Headcount (Active)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Dashboard!$A$10:$A$15</c:f>
              <c:strCache>
                <c:ptCount val="6"/>
                <c:pt idx="0">
                  <c:v>Sales</c:v>
                </c:pt>
                <c:pt idx="1">
                  <c:v>Marketing</c:v>
                </c:pt>
                <c:pt idx="2">
                  <c:v>Finance</c:v>
                </c:pt>
                <c:pt idx="3">
                  <c:v>IT</c:v>
                </c:pt>
                <c:pt idx="4">
                  <c:v>HR</c:v>
                </c:pt>
                <c:pt idx="5">
                  <c:v>Operations</c:v>
                </c:pt>
              </c:strCache>
            </c:strRef>
          </c:cat>
          <c:val>
            <c:numRef>
              <c:f>Dashboard!$B$10:$B$15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D-43C2-9659-B130ADE30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7824"/>
        <c:axId val="55317095"/>
      </c:barChart>
      <c:catAx>
        <c:axId val="5002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317095"/>
        <c:crosses val="autoZero"/>
        <c:auto val="1"/>
        <c:lblAlgn val="ctr"/>
        <c:lblOffset val="100"/>
        <c:noMultiLvlLbl val="0"/>
      </c:catAx>
      <c:valAx>
        <c:axId val="553170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0278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Recruitment Pipeline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Dashboard!$B$26</c:f>
              <c:strCache>
                <c:ptCount val="1"/>
                <c:pt idx="0">
                  <c:v>Candidate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C6C-4185-93B9-C9BBEA3484B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C6C-4185-93B9-C9BBEA3484B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C6C-4185-93B9-C9BBEA3484B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C6C-4185-93B9-C9BBEA3484B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7C6C-4185-93B9-C9BBEA3484BA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7C6C-4185-93B9-C9BBEA3484BA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6C-4185-93B9-C9BBEA3484BA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6C-4185-93B9-C9BBEA3484BA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6C-4185-93B9-C9BBEA3484BA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6C-4185-93B9-C9BBEA3484BA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6C-4185-93B9-C9BBEA3484BA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C6C-4185-93B9-C9BBEA3484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Dashboard!$A$27:$A$32</c:f>
              <c:strCache>
                <c:ptCount val="6"/>
                <c:pt idx="0">
                  <c:v>Applied</c:v>
                </c:pt>
                <c:pt idx="1">
                  <c:v>Screening</c:v>
                </c:pt>
                <c:pt idx="2">
                  <c:v>Interview</c:v>
                </c:pt>
                <c:pt idx="3">
                  <c:v>Offer</c:v>
                </c:pt>
                <c:pt idx="4">
                  <c:v>Hired</c:v>
                </c:pt>
                <c:pt idx="5">
                  <c:v>Rejected</c:v>
                </c:pt>
              </c:strCache>
            </c:strRef>
          </c:cat>
          <c:val>
            <c:numRef>
              <c:f>Dashboard!$B$27:$B$32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8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C6C-4185-93B9-C9BBEA348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Avg Attendance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Dashboard!$H$20</c:f>
              <c:strCache>
                <c:ptCount val="1"/>
                <c:pt idx="0">
                  <c:v>Avg Attendance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Dashboard!$G$21:$G$28</c:f>
              <c:strCache>
                <c:ptCount val="8"/>
                <c:pt idx="0">
                  <c:v>Jan-24</c:v>
                </c:pt>
                <c:pt idx="1">
                  <c:v>Apr-24</c:v>
                </c:pt>
                <c:pt idx="2">
                  <c:v>Jul-24</c:v>
                </c:pt>
                <c:pt idx="3">
                  <c:v>Oct-24</c:v>
                </c:pt>
                <c:pt idx="4">
                  <c:v>Jan-25</c:v>
                </c:pt>
                <c:pt idx="5">
                  <c:v>Apr-25</c:v>
                </c:pt>
                <c:pt idx="6">
                  <c:v>Jul-25</c:v>
                </c:pt>
                <c:pt idx="7">
                  <c:v>Oct-25</c:v>
                </c:pt>
              </c:strCache>
            </c:strRef>
          </c:cat>
          <c:val>
            <c:numRef>
              <c:f>Dashboard!$H$21:$H$28</c:f>
              <c:numCache>
                <c:formatCode>0%</c:formatCode>
                <c:ptCount val="8"/>
                <c:pt idx="0">
                  <c:v>0.92094861660079053</c:v>
                </c:pt>
                <c:pt idx="1">
                  <c:v>0.92307692307692313</c:v>
                </c:pt>
                <c:pt idx="2">
                  <c:v>0.91720779220779225</c:v>
                </c:pt>
                <c:pt idx="3">
                  <c:v>0.93019480519480524</c:v>
                </c:pt>
                <c:pt idx="4">
                  <c:v>0.93506493506493504</c:v>
                </c:pt>
                <c:pt idx="5">
                  <c:v>0.91720779220779225</c:v>
                </c:pt>
                <c:pt idx="6">
                  <c:v>0.92045454545454541</c:v>
                </c:pt>
                <c:pt idx="7">
                  <c:v>0.92760942760942766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6-4092-A054-744C9110C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3008744"/>
        <c:axId val="773010184"/>
      </c:lineChart>
      <c:catAx>
        <c:axId val="77300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10184"/>
        <c:crosses val="autoZero"/>
        <c:auto val="1"/>
        <c:lblAlgn val="ctr"/>
        <c:lblOffset val="100"/>
        <c:noMultiLvlLbl val="0"/>
      </c:catAx>
      <c:valAx>
        <c:axId val="7730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8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360947</xdr:colOff>
      <xdr:row>0</xdr:row>
      <xdr:rowOff>250657</xdr:rowOff>
    </xdr:from>
    <xdr:to>
      <xdr:col>24</xdr:col>
      <xdr:colOff>276994</xdr:colOff>
      <xdr:row>13</xdr:row>
      <xdr:rowOff>122851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330869</xdr:colOff>
      <xdr:row>15</xdr:row>
      <xdr:rowOff>19908</xdr:rowOff>
    </xdr:from>
    <xdr:to>
      <xdr:col>24</xdr:col>
      <xdr:colOff>246916</xdr:colOff>
      <xdr:row>29</xdr:row>
      <xdr:rowOff>17016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30079</xdr:colOff>
      <xdr:row>15</xdr:row>
      <xdr:rowOff>120315</xdr:rowOff>
    </xdr:from>
    <xdr:to>
      <xdr:col>13</xdr:col>
      <xdr:colOff>345707</xdr:colOff>
      <xdr:row>29</xdr:row>
      <xdr:rowOff>103872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99613C-1945-BD92-CAE1-728BA88D8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HR_MIS_Portfolio_Practice.xlsx" TargetMode="External"/><Relationship Id="rId1" Type="http://schemas.openxmlformats.org/officeDocument/2006/relationships/externalLinkPath" Target="HR_MIS_Portfolio_Pract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s"/>
      <sheetName val="Employee_Master"/>
      <sheetName val="Dashboard"/>
      <sheetName val="Attendance_Log"/>
      <sheetName val="Leave_Records"/>
      <sheetName val="Payroll"/>
      <sheetName val="Performance_Reviews"/>
      <sheetName val="Recruitment_Pipeline"/>
      <sheetName val="Calculations"/>
    </sheetNames>
    <sheetDataSet>
      <sheetData sheetId="0" refreshError="1"/>
      <sheetData sheetId="1"/>
      <sheetData sheetId="2" refreshError="1"/>
      <sheetData sheetId="3">
        <row r="2">
          <cell r="B2" t="str">
            <v>Jan-24</v>
          </cell>
          <cell r="C2">
            <v>22</v>
          </cell>
          <cell r="D2">
            <v>22</v>
          </cell>
        </row>
        <row r="3">
          <cell r="B3" t="str">
            <v>Jan-24</v>
          </cell>
          <cell r="C3">
            <v>22</v>
          </cell>
          <cell r="D3">
            <v>22</v>
          </cell>
        </row>
        <row r="4">
          <cell r="B4" t="str">
            <v>Jan-24</v>
          </cell>
          <cell r="C4">
            <v>22</v>
          </cell>
          <cell r="D4">
            <v>22</v>
          </cell>
        </row>
        <row r="5">
          <cell r="B5" t="str">
            <v>Jan-24</v>
          </cell>
          <cell r="C5">
            <v>20</v>
          </cell>
          <cell r="D5">
            <v>22</v>
          </cell>
        </row>
        <row r="6">
          <cell r="B6" t="str">
            <v>Jan-24</v>
          </cell>
          <cell r="C6">
            <v>20</v>
          </cell>
          <cell r="D6">
            <v>22</v>
          </cell>
        </row>
        <row r="7">
          <cell r="B7" t="str">
            <v>Jan-24</v>
          </cell>
          <cell r="C7">
            <v>22</v>
          </cell>
          <cell r="D7">
            <v>22</v>
          </cell>
        </row>
        <row r="8">
          <cell r="B8" t="str">
            <v>Jan-24</v>
          </cell>
          <cell r="C8">
            <v>20</v>
          </cell>
          <cell r="D8">
            <v>22</v>
          </cell>
        </row>
        <row r="9">
          <cell r="B9" t="str">
            <v>Jan-24</v>
          </cell>
          <cell r="C9">
            <v>19</v>
          </cell>
          <cell r="D9">
            <v>22</v>
          </cell>
        </row>
        <row r="10">
          <cell r="B10" t="str">
            <v>Jan-24</v>
          </cell>
          <cell r="C10">
            <v>22</v>
          </cell>
          <cell r="D10">
            <v>22</v>
          </cell>
        </row>
        <row r="11">
          <cell r="B11" t="str">
            <v>Jan-24</v>
          </cell>
          <cell r="C11">
            <v>21</v>
          </cell>
          <cell r="D11">
            <v>22</v>
          </cell>
        </row>
        <row r="12">
          <cell r="B12" t="str">
            <v>Jan-24</v>
          </cell>
          <cell r="C12">
            <v>20</v>
          </cell>
          <cell r="D12">
            <v>22</v>
          </cell>
        </row>
        <row r="13">
          <cell r="B13" t="str">
            <v>Jan-24</v>
          </cell>
          <cell r="C13">
            <v>19</v>
          </cell>
          <cell r="D13">
            <v>22</v>
          </cell>
        </row>
        <row r="14">
          <cell r="B14" t="str">
            <v>Jan-24</v>
          </cell>
          <cell r="C14">
            <v>19</v>
          </cell>
          <cell r="D14">
            <v>22</v>
          </cell>
        </row>
        <row r="15">
          <cell r="B15" t="str">
            <v>Jan-24</v>
          </cell>
          <cell r="C15">
            <v>21</v>
          </cell>
          <cell r="D15">
            <v>22</v>
          </cell>
        </row>
        <row r="16">
          <cell r="B16" t="str">
            <v>Jan-24</v>
          </cell>
          <cell r="C16">
            <v>22</v>
          </cell>
          <cell r="D16">
            <v>22</v>
          </cell>
        </row>
        <row r="17">
          <cell r="B17" t="str">
            <v>Jan-24</v>
          </cell>
          <cell r="C17">
            <v>20</v>
          </cell>
          <cell r="D17">
            <v>22</v>
          </cell>
        </row>
        <row r="18">
          <cell r="B18" t="str">
            <v>Jan-24</v>
          </cell>
          <cell r="C18">
            <v>19</v>
          </cell>
          <cell r="D18">
            <v>22</v>
          </cell>
        </row>
        <row r="19">
          <cell r="B19" t="str">
            <v>Jan-24</v>
          </cell>
          <cell r="C19">
            <v>19</v>
          </cell>
          <cell r="D19">
            <v>22</v>
          </cell>
        </row>
        <row r="20">
          <cell r="B20" t="str">
            <v>Jan-24</v>
          </cell>
          <cell r="C20">
            <v>19</v>
          </cell>
          <cell r="D20">
            <v>22</v>
          </cell>
        </row>
        <row r="21">
          <cell r="B21" t="str">
            <v>Jan-24</v>
          </cell>
          <cell r="C21">
            <v>19</v>
          </cell>
          <cell r="D21">
            <v>22</v>
          </cell>
        </row>
        <row r="22">
          <cell r="B22" t="str">
            <v>Jan-24</v>
          </cell>
          <cell r="C22">
            <v>20</v>
          </cell>
          <cell r="D22">
            <v>22</v>
          </cell>
        </row>
        <row r="23">
          <cell r="B23" t="str">
            <v>Jan-24</v>
          </cell>
          <cell r="C23">
            <v>20</v>
          </cell>
          <cell r="D23">
            <v>22</v>
          </cell>
        </row>
        <row r="24">
          <cell r="B24" t="str">
            <v>Jan-24</v>
          </cell>
          <cell r="C24">
            <v>19</v>
          </cell>
          <cell r="D24">
            <v>22</v>
          </cell>
        </row>
        <row r="25">
          <cell r="B25" t="str">
            <v>Feb-24</v>
          </cell>
          <cell r="C25">
            <v>22</v>
          </cell>
          <cell r="D25">
            <v>22</v>
          </cell>
        </row>
        <row r="26">
          <cell r="B26" t="str">
            <v>Feb-24</v>
          </cell>
          <cell r="C26">
            <v>21</v>
          </cell>
          <cell r="D26">
            <v>22</v>
          </cell>
        </row>
        <row r="27">
          <cell r="B27" t="str">
            <v>Feb-24</v>
          </cell>
          <cell r="C27">
            <v>22</v>
          </cell>
          <cell r="D27">
            <v>22</v>
          </cell>
        </row>
        <row r="28">
          <cell r="B28" t="str">
            <v>Feb-24</v>
          </cell>
          <cell r="C28">
            <v>20</v>
          </cell>
          <cell r="D28">
            <v>22</v>
          </cell>
        </row>
        <row r="29">
          <cell r="B29" t="str">
            <v>Feb-24</v>
          </cell>
          <cell r="C29">
            <v>20</v>
          </cell>
          <cell r="D29">
            <v>22</v>
          </cell>
        </row>
        <row r="30">
          <cell r="B30" t="str">
            <v>Feb-24</v>
          </cell>
          <cell r="C30">
            <v>21</v>
          </cell>
          <cell r="D30">
            <v>22</v>
          </cell>
        </row>
        <row r="31">
          <cell r="B31" t="str">
            <v>Feb-24</v>
          </cell>
          <cell r="C31">
            <v>22</v>
          </cell>
          <cell r="D31">
            <v>22</v>
          </cell>
        </row>
        <row r="32">
          <cell r="B32" t="str">
            <v>Feb-24</v>
          </cell>
          <cell r="C32">
            <v>19</v>
          </cell>
          <cell r="D32">
            <v>22</v>
          </cell>
        </row>
        <row r="33">
          <cell r="B33" t="str">
            <v>Feb-24</v>
          </cell>
          <cell r="C33">
            <v>19</v>
          </cell>
          <cell r="D33">
            <v>22</v>
          </cell>
        </row>
        <row r="34">
          <cell r="B34" t="str">
            <v>Feb-24</v>
          </cell>
          <cell r="C34">
            <v>22</v>
          </cell>
          <cell r="D34">
            <v>22</v>
          </cell>
        </row>
        <row r="35">
          <cell r="B35" t="str">
            <v>Feb-24</v>
          </cell>
          <cell r="C35">
            <v>20</v>
          </cell>
          <cell r="D35">
            <v>22</v>
          </cell>
        </row>
        <row r="36">
          <cell r="B36" t="str">
            <v>Feb-24</v>
          </cell>
          <cell r="C36">
            <v>22</v>
          </cell>
          <cell r="D36">
            <v>22</v>
          </cell>
        </row>
        <row r="37">
          <cell r="B37" t="str">
            <v>Feb-24</v>
          </cell>
          <cell r="C37">
            <v>19</v>
          </cell>
          <cell r="D37">
            <v>22</v>
          </cell>
        </row>
        <row r="38">
          <cell r="B38" t="str">
            <v>Feb-24</v>
          </cell>
          <cell r="C38">
            <v>20</v>
          </cell>
          <cell r="D38">
            <v>22</v>
          </cell>
        </row>
        <row r="39">
          <cell r="B39" t="str">
            <v>Feb-24</v>
          </cell>
          <cell r="C39">
            <v>21</v>
          </cell>
          <cell r="D39">
            <v>22</v>
          </cell>
        </row>
        <row r="40">
          <cell r="B40" t="str">
            <v>Feb-24</v>
          </cell>
          <cell r="C40">
            <v>20</v>
          </cell>
          <cell r="D40">
            <v>22</v>
          </cell>
        </row>
        <row r="41">
          <cell r="B41" t="str">
            <v>Feb-24</v>
          </cell>
          <cell r="C41">
            <v>21</v>
          </cell>
          <cell r="D41">
            <v>22</v>
          </cell>
        </row>
        <row r="42">
          <cell r="B42" t="str">
            <v>Feb-24</v>
          </cell>
          <cell r="C42">
            <v>19</v>
          </cell>
          <cell r="D42">
            <v>22</v>
          </cell>
        </row>
        <row r="43">
          <cell r="B43" t="str">
            <v>Feb-24</v>
          </cell>
          <cell r="C43">
            <v>19</v>
          </cell>
          <cell r="D43">
            <v>22</v>
          </cell>
        </row>
        <row r="44">
          <cell r="B44" t="str">
            <v>Feb-24</v>
          </cell>
          <cell r="C44">
            <v>19</v>
          </cell>
          <cell r="D44">
            <v>22</v>
          </cell>
        </row>
        <row r="45">
          <cell r="B45" t="str">
            <v>Feb-24</v>
          </cell>
          <cell r="C45">
            <v>21</v>
          </cell>
          <cell r="D45">
            <v>22</v>
          </cell>
        </row>
        <row r="46">
          <cell r="B46" t="str">
            <v>Feb-24</v>
          </cell>
          <cell r="C46">
            <v>19</v>
          </cell>
          <cell r="D46">
            <v>22</v>
          </cell>
        </row>
        <row r="47">
          <cell r="B47" t="str">
            <v>Feb-24</v>
          </cell>
          <cell r="C47">
            <v>21</v>
          </cell>
          <cell r="D47">
            <v>22</v>
          </cell>
        </row>
        <row r="48">
          <cell r="B48" t="str">
            <v>Feb-24</v>
          </cell>
          <cell r="C48">
            <v>21</v>
          </cell>
          <cell r="D48">
            <v>22</v>
          </cell>
        </row>
        <row r="49">
          <cell r="B49" t="str">
            <v>Feb-24</v>
          </cell>
          <cell r="C49">
            <v>19</v>
          </cell>
          <cell r="D49">
            <v>22</v>
          </cell>
        </row>
        <row r="50">
          <cell r="B50" t="str">
            <v>Mar-24</v>
          </cell>
          <cell r="C50">
            <v>19</v>
          </cell>
          <cell r="D50">
            <v>22</v>
          </cell>
        </row>
        <row r="51">
          <cell r="B51" t="str">
            <v>Mar-24</v>
          </cell>
          <cell r="C51">
            <v>19</v>
          </cell>
          <cell r="D51">
            <v>22</v>
          </cell>
        </row>
        <row r="52">
          <cell r="B52" t="str">
            <v>Mar-24</v>
          </cell>
          <cell r="C52">
            <v>20</v>
          </cell>
          <cell r="D52">
            <v>22</v>
          </cell>
        </row>
        <row r="53">
          <cell r="B53" t="str">
            <v>Mar-24</v>
          </cell>
          <cell r="C53">
            <v>20</v>
          </cell>
          <cell r="D53">
            <v>22</v>
          </cell>
        </row>
        <row r="54">
          <cell r="B54" t="str">
            <v>Mar-24</v>
          </cell>
          <cell r="C54">
            <v>19</v>
          </cell>
          <cell r="D54">
            <v>22</v>
          </cell>
        </row>
        <row r="55">
          <cell r="B55" t="str">
            <v>Mar-24</v>
          </cell>
          <cell r="C55">
            <v>22</v>
          </cell>
          <cell r="D55">
            <v>22</v>
          </cell>
        </row>
        <row r="56">
          <cell r="B56" t="str">
            <v>Mar-24</v>
          </cell>
          <cell r="C56">
            <v>21</v>
          </cell>
          <cell r="D56">
            <v>22</v>
          </cell>
        </row>
        <row r="57">
          <cell r="B57" t="str">
            <v>Mar-24</v>
          </cell>
          <cell r="C57">
            <v>21</v>
          </cell>
          <cell r="D57">
            <v>22</v>
          </cell>
        </row>
        <row r="58">
          <cell r="B58" t="str">
            <v>Mar-24</v>
          </cell>
          <cell r="C58">
            <v>22</v>
          </cell>
          <cell r="D58">
            <v>22</v>
          </cell>
        </row>
        <row r="59">
          <cell r="B59" t="str">
            <v>Mar-24</v>
          </cell>
          <cell r="C59">
            <v>19</v>
          </cell>
          <cell r="D59">
            <v>22</v>
          </cell>
        </row>
        <row r="60">
          <cell r="B60" t="str">
            <v>Mar-24</v>
          </cell>
          <cell r="C60">
            <v>20</v>
          </cell>
          <cell r="D60">
            <v>22</v>
          </cell>
        </row>
        <row r="61">
          <cell r="B61" t="str">
            <v>Mar-24</v>
          </cell>
          <cell r="C61">
            <v>20</v>
          </cell>
          <cell r="D61">
            <v>22</v>
          </cell>
        </row>
        <row r="62">
          <cell r="B62" t="str">
            <v>Mar-24</v>
          </cell>
          <cell r="C62">
            <v>21</v>
          </cell>
          <cell r="D62">
            <v>22</v>
          </cell>
        </row>
        <row r="63">
          <cell r="B63" t="str">
            <v>Mar-24</v>
          </cell>
          <cell r="C63">
            <v>19</v>
          </cell>
          <cell r="D63">
            <v>22</v>
          </cell>
        </row>
        <row r="64">
          <cell r="B64" t="str">
            <v>Mar-24</v>
          </cell>
          <cell r="C64">
            <v>21</v>
          </cell>
          <cell r="D64">
            <v>22</v>
          </cell>
        </row>
        <row r="65">
          <cell r="B65" t="str">
            <v>Mar-24</v>
          </cell>
          <cell r="C65">
            <v>21</v>
          </cell>
          <cell r="D65">
            <v>22</v>
          </cell>
        </row>
        <row r="66">
          <cell r="B66" t="str">
            <v>Mar-24</v>
          </cell>
          <cell r="C66">
            <v>19</v>
          </cell>
          <cell r="D66">
            <v>22</v>
          </cell>
        </row>
        <row r="67">
          <cell r="B67" t="str">
            <v>Mar-24</v>
          </cell>
          <cell r="C67">
            <v>22</v>
          </cell>
          <cell r="D67">
            <v>22</v>
          </cell>
        </row>
        <row r="68">
          <cell r="B68" t="str">
            <v>Mar-24</v>
          </cell>
          <cell r="C68">
            <v>19</v>
          </cell>
          <cell r="D68">
            <v>22</v>
          </cell>
        </row>
        <row r="69">
          <cell r="B69" t="str">
            <v>Mar-24</v>
          </cell>
          <cell r="C69">
            <v>20</v>
          </cell>
          <cell r="D69">
            <v>22</v>
          </cell>
        </row>
        <row r="70">
          <cell r="B70" t="str">
            <v>Mar-24</v>
          </cell>
          <cell r="C70">
            <v>20</v>
          </cell>
          <cell r="D70">
            <v>22</v>
          </cell>
        </row>
        <row r="71">
          <cell r="B71" t="str">
            <v>Mar-24</v>
          </cell>
          <cell r="C71">
            <v>19</v>
          </cell>
          <cell r="D71">
            <v>22</v>
          </cell>
        </row>
        <row r="72">
          <cell r="B72" t="str">
            <v>Mar-24</v>
          </cell>
          <cell r="C72">
            <v>19</v>
          </cell>
          <cell r="D72">
            <v>22</v>
          </cell>
        </row>
        <row r="73">
          <cell r="B73" t="str">
            <v>Mar-24</v>
          </cell>
          <cell r="C73">
            <v>19</v>
          </cell>
          <cell r="D73">
            <v>22</v>
          </cell>
        </row>
        <row r="74">
          <cell r="B74" t="str">
            <v>Mar-24</v>
          </cell>
          <cell r="C74">
            <v>22</v>
          </cell>
          <cell r="D74">
            <v>22</v>
          </cell>
        </row>
        <row r="75">
          <cell r="B75" t="str">
            <v>Apr-24</v>
          </cell>
          <cell r="C75">
            <v>22</v>
          </cell>
          <cell r="D75">
            <v>22</v>
          </cell>
        </row>
        <row r="76">
          <cell r="B76" t="str">
            <v>Apr-24</v>
          </cell>
          <cell r="C76">
            <v>20</v>
          </cell>
          <cell r="D76">
            <v>22</v>
          </cell>
        </row>
        <row r="77">
          <cell r="B77" t="str">
            <v>Apr-24</v>
          </cell>
          <cell r="C77">
            <v>20</v>
          </cell>
          <cell r="D77">
            <v>22</v>
          </cell>
        </row>
        <row r="78">
          <cell r="B78" t="str">
            <v>Apr-24</v>
          </cell>
          <cell r="C78">
            <v>22</v>
          </cell>
          <cell r="D78">
            <v>22</v>
          </cell>
        </row>
        <row r="79">
          <cell r="B79" t="str">
            <v>Apr-24</v>
          </cell>
          <cell r="C79">
            <v>20</v>
          </cell>
          <cell r="D79">
            <v>22</v>
          </cell>
        </row>
        <row r="80">
          <cell r="B80" t="str">
            <v>Apr-24</v>
          </cell>
          <cell r="C80">
            <v>20</v>
          </cell>
          <cell r="D80">
            <v>22</v>
          </cell>
        </row>
        <row r="81">
          <cell r="B81" t="str">
            <v>Apr-24</v>
          </cell>
          <cell r="C81">
            <v>22</v>
          </cell>
          <cell r="D81">
            <v>22</v>
          </cell>
        </row>
        <row r="82">
          <cell r="B82" t="str">
            <v>Apr-24</v>
          </cell>
          <cell r="C82">
            <v>21</v>
          </cell>
          <cell r="D82">
            <v>22</v>
          </cell>
        </row>
        <row r="83">
          <cell r="B83" t="str">
            <v>Apr-24</v>
          </cell>
          <cell r="C83">
            <v>19</v>
          </cell>
          <cell r="D83">
            <v>22</v>
          </cell>
        </row>
        <row r="84">
          <cell r="B84" t="str">
            <v>Apr-24</v>
          </cell>
          <cell r="C84">
            <v>21</v>
          </cell>
          <cell r="D84">
            <v>22</v>
          </cell>
        </row>
        <row r="85">
          <cell r="B85" t="str">
            <v>Apr-24</v>
          </cell>
          <cell r="C85">
            <v>22</v>
          </cell>
          <cell r="D85">
            <v>22</v>
          </cell>
        </row>
        <row r="86">
          <cell r="B86" t="str">
            <v>Apr-24</v>
          </cell>
          <cell r="C86">
            <v>20</v>
          </cell>
          <cell r="D86">
            <v>22</v>
          </cell>
        </row>
        <row r="87">
          <cell r="B87" t="str">
            <v>Apr-24</v>
          </cell>
          <cell r="C87">
            <v>19</v>
          </cell>
          <cell r="D87">
            <v>22</v>
          </cell>
        </row>
        <row r="88">
          <cell r="B88" t="str">
            <v>Apr-24</v>
          </cell>
          <cell r="C88">
            <v>20</v>
          </cell>
          <cell r="D88">
            <v>22</v>
          </cell>
        </row>
        <row r="89">
          <cell r="B89" t="str">
            <v>Apr-24</v>
          </cell>
          <cell r="C89">
            <v>21</v>
          </cell>
          <cell r="D89">
            <v>22</v>
          </cell>
        </row>
        <row r="90">
          <cell r="B90" t="str">
            <v>Apr-24</v>
          </cell>
          <cell r="C90">
            <v>19</v>
          </cell>
          <cell r="D90">
            <v>22</v>
          </cell>
        </row>
        <row r="91">
          <cell r="B91" t="str">
            <v>Apr-24</v>
          </cell>
          <cell r="C91">
            <v>20</v>
          </cell>
          <cell r="D91">
            <v>22</v>
          </cell>
        </row>
        <row r="92">
          <cell r="B92" t="str">
            <v>Apr-24</v>
          </cell>
          <cell r="C92">
            <v>20</v>
          </cell>
          <cell r="D92">
            <v>22</v>
          </cell>
        </row>
        <row r="93">
          <cell r="B93" t="str">
            <v>Apr-24</v>
          </cell>
          <cell r="C93">
            <v>21</v>
          </cell>
          <cell r="D93">
            <v>22</v>
          </cell>
        </row>
        <row r="94">
          <cell r="B94" t="str">
            <v>Apr-24</v>
          </cell>
          <cell r="C94">
            <v>19</v>
          </cell>
          <cell r="D94">
            <v>22</v>
          </cell>
        </row>
        <row r="95">
          <cell r="B95" t="str">
            <v>Apr-24</v>
          </cell>
          <cell r="C95">
            <v>19</v>
          </cell>
          <cell r="D95">
            <v>22</v>
          </cell>
        </row>
        <row r="96">
          <cell r="B96" t="str">
            <v>Apr-24</v>
          </cell>
          <cell r="C96">
            <v>20</v>
          </cell>
          <cell r="D96">
            <v>22</v>
          </cell>
        </row>
        <row r="97">
          <cell r="B97" t="str">
            <v>Apr-24</v>
          </cell>
          <cell r="C97">
            <v>20</v>
          </cell>
          <cell r="D97">
            <v>22</v>
          </cell>
        </row>
        <row r="98">
          <cell r="B98" t="str">
            <v>Apr-24</v>
          </cell>
          <cell r="C98">
            <v>22</v>
          </cell>
          <cell r="D98">
            <v>22</v>
          </cell>
        </row>
        <row r="99">
          <cell r="B99" t="str">
            <v>Apr-24</v>
          </cell>
          <cell r="C99">
            <v>20</v>
          </cell>
          <cell r="D99">
            <v>22</v>
          </cell>
        </row>
        <row r="100">
          <cell r="B100" t="str">
            <v>Apr-24</v>
          </cell>
          <cell r="C100">
            <v>19</v>
          </cell>
          <cell r="D100">
            <v>22</v>
          </cell>
        </row>
        <row r="101">
          <cell r="B101" t="str">
            <v>May-24</v>
          </cell>
          <cell r="C101">
            <v>21</v>
          </cell>
          <cell r="D101">
            <v>22</v>
          </cell>
        </row>
        <row r="102">
          <cell r="B102" t="str">
            <v>May-24</v>
          </cell>
          <cell r="C102">
            <v>21</v>
          </cell>
          <cell r="D102">
            <v>22</v>
          </cell>
        </row>
        <row r="103">
          <cell r="B103" t="str">
            <v>May-24</v>
          </cell>
          <cell r="C103">
            <v>21</v>
          </cell>
          <cell r="D103">
            <v>22</v>
          </cell>
        </row>
        <row r="104">
          <cell r="B104" t="str">
            <v>May-24</v>
          </cell>
          <cell r="C104">
            <v>19</v>
          </cell>
          <cell r="D104">
            <v>22</v>
          </cell>
        </row>
        <row r="105">
          <cell r="B105" t="str">
            <v>May-24</v>
          </cell>
          <cell r="C105">
            <v>19</v>
          </cell>
          <cell r="D105">
            <v>22</v>
          </cell>
        </row>
        <row r="106">
          <cell r="B106" t="str">
            <v>May-24</v>
          </cell>
          <cell r="C106">
            <v>19</v>
          </cell>
          <cell r="D106">
            <v>22</v>
          </cell>
        </row>
        <row r="107">
          <cell r="B107" t="str">
            <v>May-24</v>
          </cell>
          <cell r="C107">
            <v>20</v>
          </cell>
          <cell r="D107">
            <v>22</v>
          </cell>
        </row>
        <row r="108">
          <cell r="B108" t="str">
            <v>May-24</v>
          </cell>
          <cell r="C108">
            <v>20</v>
          </cell>
          <cell r="D108">
            <v>22</v>
          </cell>
        </row>
        <row r="109">
          <cell r="B109" t="str">
            <v>May-24</v>
          </cell>
          <cell r="C109">
            <v>19</v>
          </cell>
          <cell r="D109">
            <v>22</v>
          </cell>
        </row>
        <row r="110">
          <cell r="B110" t="str">
            <v>May-24</v>
          </cell>
          <cell r="C110">
            <v>21</v>
          </cell>
          <cell r="D110">
            <v>22</v>
          </cell>
        </row>
        <row r="111">
          <cell r="B111" t="str">
            <v>May-24</v>
          </cell>
          <cell r="C111">
            <v>21</v>
          </cell>
          <cell r="D111">
            <v>22</v>
          </cell>
        </row>
        <row r="112">
          <cell r="B112" t="str">
            <v>May-24</v>
          </cell>
          <cell r="C112">
            <v>22</v>
          </cell>
          <cell r="D112">
            <v>22</v>
          </cell>
        </row>
        <row r="113">
          <cell r="B113" t="str">
            <v>May-24</v>
          </cell>
          <cell r="C113">
            <v>20</v>
          </cell>
          <cell r="D113">
            <v>22</v>
          </cell>
        </row>
        <row r="114">
          <cell r="B114" t="str">
            <v>May-24</v>
          </cell>
          <cell r="C114">
            <v>22</v>
          </cell>
          <cell r="D114">
            <v>22</v>
          </cell>
        </row>
        <row r="115">
          <cell r="B115" t="str">
            <v>May-24</v>
          </cell>
          <cell r="C115">
            <v>20</v>
          </cell>
          <cell r="D115">
            <v>22</v>
          </cell>
        </row>
        <row r="116">
          <cell r="B116" t="str">
            <v>May-24</v>
          </cell>
          <cell r="C116">
            <v>21</v>
          </cell>
          <cell r="D116">
            <v>22</v>
          </cell>
        </row>
        <row r="117">
          <cell r="B117" t="str">
            <v>May-24</v>
          </cell>
          <cell r="C117">
            <v>20</v>
          </cell>
          <cell r="D117">
            <v>22</v>
          </cell>
        </row>
        <row r="118">
          <cell r="B118" t="str">
            <v>May-24</v>
          </cell>
          <cell r="C118">
            <v>20</v>
          </cell>
          <cell r="D118">
            <v>22</v>
          </cell>
        </row>
        <row r="119">
          <cell r="B119" t="str">
            <v>May-24</v>
          </cell>
          <cell r="C119">
            <v>21</v>
          </cell>
          <cell r="D119">
            <v>22</v>
          </cell>
        </row>
        <row r="120">
          <cell r="B120" t="str">
            <v>May-24</v>
          </cell>
          <cell r="C120">
            <v>20</v>
          </cell>
          <cell r="D120">
            <v>22</v>
          </cell>
        </row>
        <row r="121">
          <cell r="B121" t="str">
            <v>May-24</v>
          </cell>
          <cell r="C121">
            <v>20</v>
          </cell>
          <cell r="D121">
            <v>22</v>
          </cell>
        </row>
        <row r="122">
          <cell r="B122" t="str">
            <v>May-24</v>
          </cell>
          <cell r="C122">
            <v>20</v>
          </cell>
          <cell r="D122">
            <v>22</v>
          </cell>
        </row>
        <row r="123">
          <cell r="B123" t="str">
            <v>May-24</v>
          </cell>
          <cell r="C123">
            <v>20</v>
          </cell>
          <cell r="D123">
            <v>22</v>
          </cell>
        </row>
        <row r="124">
          <cell r="B124" t="str">
            <v>May-24</v>
          </cell>
          <cell r="C124">
            <v>20</v>
          </cell>
          <cell r="D124">
            <v>22</v>
          </cell>
        </row>
        <row r="125">
          <cell r="B125" t="str">
            <v>May-24</v>
          </cell>
          <cell r="C125">
            <v>21</v>
          </cell>
          <cell r="D125">
            <v>22</v>
          </cell>
        </row>
        <row r="126">
          <cell r="B126" t="str">
            <v>May-24</v>
          </cell>
          <cell r="C126">
            <v>22</v>
          </cell>
          <cell r="D126">
            <v>22</v>
          </cell>
        </row>
        <row r="127">
          <cell r="B127" t="str">
            <v>Jun-24</v>
          </cell>
          <cell r="C127">
            <v>19</v>
          </cell>
          <cell r="D127">
            <v>22</v>
          </cell>
        </row>
        <row r="128">
          <cell r="B128" t="str">
            <v>Jun-24</v>
          </cell>
          <cell r="C128">
            <v>22</v>
          </cell>
          <cell r="D128">
            <v>22</v>
          </cell>
        </row>
        <row r="129">
          <cell r="B129" t="str">
            <v>Jun-24</v>
          </cell>
          <cell r="C129">
            <v>19</v>
          </cell>
          <cell r="D129">
            <v>22</v>
          </cell>
        </row>
        <row r="130">
          <cell r="B130" t="str">
            <v>Jun-24</v>
          </cell>
          <cell r="C130">
            <v>19</v>
          </cell>
          <cell r="D130">
            <v>22</v>
          </cell>
        </row>
        <row r="131">
          <cell r="B131" t="str">
            <v>Jun-24</v>
          </cell>
          <cell r="C131">
            <v>19</v>
          </cell>
          <cell r="D131">
            <v>22</v>
          </cell>
        </row>
        <row r="132">
          <cell r="B132" t="str">
            <v>Jun-24</v>
          </cell>
          <cell r="C132">
            <v>19</v>
          </cell>
          <cell r="D132">
            <v>22</v>
          </cell>
        </row>
        <row r="133">
          <cell r="B133" t="str">
            <v>Jun-24</v>
          </cell>
          <cell r="C133">
            <v>20</v>
          </cell>
          <cell r="D133">
            <v>22</v>
          </cell>
        </row>
        <row r="134">
          <cell r="B134" t="str">
            <v>Jun-24</v>
          </cell>
          <cell r="C134">
            <v>20</v>
          </cell>
          <cell r="D134">
            <v>22</v>
          </cell>
        </row>
        <row r="135">
          <cell r="B135" t="str">
            <v>Jun-24</v>
          </cell>
          <cell r="C135">
            <v>21</v>
          </cell>
          <cell r="D135">
            <v>22</v>
          </cell>
        </row>
        <row r="136">
          <cell r="B136" t="str">
            <v>Jun-24</v>
          </cell>
          <cell r="C136">
            <v>20</v>
          </cell>
          <cell r="D136">
            <v>22</v>
          </cell>
        </row>
        <row r="137">
          <cell r="B137" t="str">
            <v>Jun-24</v>
          </cell>
          <cell r="C137">
            <v>22</v>
          </cell>
          <cell r="D137">
            <v>22</v>
          </cell>
        </row>
        <row r="138">
          <cell r="B138" t="str">
            <v>Jun-24</v>
          </cell>
          <cell r="C138">
            <v>22</v>
          </cell>
          <cell r="D138">
            <v>22</v>
          </cell>
        </row>
        <row r="139">
          <cell r="B139" t="str">
            <v>Jun-24</v>
          </cell>
          <cell r="C139">
            <v>21</v>
          </cell>
          <cell r="D139">
            <v>22</v>
          </cell>
        </row>
        <row r="140">
          <cell r="B140" t="str">
            <v>Jun-24</v>
          </cell>
          <cell r="C140">
            <v>20</v>
          </cell>
          <cell r="D140">
            <v>22</v>
          </cell>
        </row>
        <row r="141">
          <cell r="B141" t="str">
            <v>Jun-24</v>
          </cell>
          <cell r="C141">
            <v>19</v>
          </cell>
          <cell r="D141">
            <v>22</v>
          </cell>
        </row>
        <row r="142">
          <cell r="B142" t="str">
            <v>Jun-24</v>
          </cell>
          <cell r="C142">
            <v>20</v>
          </cell>
          <cell r="D142">
            <v>22</v>
          </cell>
        </row>
        <row r="143">
          <cell r="B143" t="str">
            <v>Jun-24</v>
          </cell>
          <cell r="C143">
            <v>20</v>
          </cell>
          <cell r="D143">
            <v>22</v>
          </cell>
        </row>
        <row r="144">
          <cell r="B144" t="str">
            <v>Jun-24</v>
          </cell>
          <cell r="C144">
            <v>22</v>
          </cell>
          <cell r="D144">
            <v>22</v>
          </cell>
        </row>
        <row r="145">
          <cell r="B145" t="str">
            <v>Jun-24</v>
          </cell>
          <cell r="C145">
            <v>19</v>
          </cell>
          <cell r="D145">
            <v>22</v>
          </cell>
        </row>
        <row r="146">
          <cell r="B146" t="str">
            <v>Jun-24</v>
          </cell>
          <cell r="C146">
            <v>20</v>
          </cell>
          <cell r="D146">
            <v>22</v>
          </cell>
        </row>
        <row r="147">
          <cell r="B147" t="str">
            <v>Jun-24</v>
          </cell>
          <cell r="C147">
            <v>20</v>
          </cell>
          <cell r="D147">
            <v>22</v>
          </cell>
        </row>
        <row r="148">
          <cell r="B148" t="str">
            <v>Jun-24</v>
          </cell>
          <cell r="C148">
            <v>20</v>
          </cell>
          <cell r="D148">
            <v>22</v>
          </cell>
        </row>
        <row r="149">
          <cell r="B149" t="str">
            <v>Jun-24</v>
          </cell>
          <cell r="C149">
            <v>19</v>
          </cell>
          <cell r="D149">
            <v>22</v>
          </cell>
        </row>
        <row r="150">
          <cell r="B150" t="str">
            <v>Jun-24</v>
          </cell>
          <cell r="C150">
            <v>19</v>
          </cell>
          <cell r="D150">
            <v>22</v>
          </cell>
        </row>
        <row r="151">
          <cell r="B151" t="str">
            <v>Jun-24</v>
          </cell>
          <cell r="C151">
            <v>20</v>
          </cell>
          <cell r="D151">
            <v>22</v>
          </cell>
        </row>
        <row r="152">
          <cell r="B152" t="str">
            <v>Jun-24</v>
          </cell>
          <cell r="C152">
            <v>22</v>
          </cell>
          <cell r="D152">
            <v>22</v>
          </cell>
        </row>
        <row r="153">
          <cell r="B153" t="str">
            <v>Jun-24</v>
          </cell>
          <cell r="C153">
            <v>22</v>
          </cell>
          <cell r="D153">
            <v>22</v>
          </cell>
        </row>
        <row r="154">
          <cell r="B154" t="str">
            <v>Jun-24</v>
          </cell>
          <cell r="C154">
            <v>20</v>
          </cell>
          <cell r="D154">
            <v>22</v>
          </cell>
        </row>
        <row r="155">
          <cell r="B155" t="str">
            <v>Jul-24</v>
          </cell>
          <cell r="C155">
            <v>19</v>
          </cell>
          <cell r="D155">
            <v>22</v>
          </cell>
        </row>
        <row r="156">
          <cell r="B156" t="str">
            <v>Jul-24</v>
          </cell>
          <cell r="C156">
            <v>19</v>
          </cell>
          <cell r="D156">
            <v>22</v>
          </cell>
        </row>
        <row r="157">
          <cell r="B157" t="str">
            <v>Jul-24</v>
          </cell>
          <cell r="C157">
            <v>20</v>
          </cell>
          <cell r="D157">
            <v>22</v>
          </cell>
        </row>
        <row r="158">
          <cell r="B158" t="str">
            <v>Jul-24</v>
          </cell>
          <cell r="C158">
            <v>21</v>
          </cell>
          <cell r="D158">
            <v>22</v>
          </cell>
        </row>
        <row r="159">
          <cell r="B159" t="str">
            <v>Jul-24</v>
          </cell>
          <cell r="C159">
            <v>21</v>
          </cell>
          <cell r="D159">
            <v>22</v>
          </cell>
        </row>
        <row r="160">
          <cell r="B160" t="str">
            <v>Jul-24</v>
          </cell>
          <cell r="C160">
            <v>20</v>
          </cell>
          <cell r="D160">
            <v>22</v>
          </cell>
        </row>
        <row r="161">
          <cell r="B161" t="str">
            <v>Jul-24</v>
          </cell>
          <cell r="C161">
            <v>19</v>
          </cell>
          <cell r="D161">
            <v>22</v>
          </cell>
        </row>
        <row r="162">
          <cell r="B162" t="str">
            <v>Jul-24</v>
          </cell>
          <cell r="C162">
            <v>21</v>
          </cell>
          <cell r="D162">
            <v>22</v>
          </cell>
        </row>
        <row r="163">
          <cell r="B163" t="str">
            <v>Jul-24</v>
          </cell>
          <cell r="C163">
            <v>20</v>
          </cell>
          <cell r="D163">
            <v>22</v>
          </cell>
        </row>
        <row r="164">
          <cell r="B164" t="str">
            <v>Jul-24</v>
          </cell>
          <cell r="C164">
            <v>22</v>
          </cell>
          <cell r="D164">
            <v>22</v>
          </cell>
        </row>
        <row r="165">
          <cell r="B165" t="str">
            <v>Jul-24</v>
          </cell>
          <cell r="C165">
            <v>21</v>
          </cell>
          <cell r="D165">
            <v>22</v>
          </cell>
        </row>
        <row r="166">
          <cell r="B166" t="str">
            <v>Jul-24</v>
          </cell>
          <cell r="C166">
            <v>20</v>
          </cell>
          <cell r="D166">
            <v>22</v>
          </cell>
        </row>
        <row r="167">
          <cell r="B167" t="str">
            <v>Jul-24</v>
          </cell>
          <cell r="C167">
            <v>19</v>
          </cell>
          <cell r="D167">
            <v>22</v>
          </cell>
        </row>
        <row r="168">
          <cell r="B168" t="str">
            <v>Jul-24</v>
          </cell>
          <cell r="C168">
            <v>19</v>
          </cell>
          <cell r="D168">
            <v>22</v>
          </cell>
        </row>
        <row r="169">
          <cell r="B169" t="str">
            <v>Jul-24</v>
          </cell>
          <cell r="C169">
            <v>22</v>
          </cell>
          <cell r="D169">
            <v>22</v>
          </cell>
        </row>
        <row r="170">
          <cell r="B170" t="str">
            <v>Jul-24</v>
          </cell>
          <cell r="C170">
            <v>21</v>
          </cell>
          <cell r="D170">
            <v>22</v>
          </cell>
        </row>
        <row r="171">
          <cell r="B171" t="str">
            <v>Jul-24</v>
          </cell>
          <cell r="C171">
            <v>21</v>
          </cell>
          <cell r="D171">
            <v>22</v>
          </cell>
        </row>
        <row r="172">
          <cell r="B172" t="str">
            <v>Jul-24</v>
          </cell>
          <cell r="C172">
            <v>19</v>
          </cell>
          <cell r="D172">
            <v>22</v>
          </cell>
        </row>
        <row r="173">
          <cell r="B173" t="str">
            <v>Jul-24</v>
          </cell>
          <cell r="C173">
            <v>19</v>
          </cell>
          <cell r="D173">
            <v>22</v>
          </cell>
        </row>
        <row r="174">
          <cell r="B174" t="str">
            <v>Jul-24</v>
          </cell>
          <cell r="C174">
            <v>19</v>
          </cell>
          <cell r="D174">
            <v>22</v>
          </cell>
        </row>
        <row r="175">
          <cell r="B175" t="str">
            <v>Jul-24</v>
          </cell>
          <cell r="C175">
            <v>22</v>
          </cell>
          <cell r="D175">
            <v>22</v>
          </cell>
        </row>
        <row r="176">
          <cell r="B176" t="str">
            <v>Jul-24</v>
          </cell>
          <cell r="C176">
            <v>19</v>
          </cell>
          <cell r="D176">
            <v>22</v>
          </cell>
        </row>
        <row r="177">
          <cell r="B177" t="str">
            <v>Jul-24</v>
          </cell>
          <cell r="C177">
            <v>21</v>
          </cell>
          <cell r="D177">
            <v>22</v>
          </cell>
        </row>
        <row r="178">
          <cell r="B178" t="str">
            <v>Jul-24</v>
          </cell>
          <cell r="C178">
            <v>21</v>
          </cell>
          <cell r="D178">
            <v>22</v>
          </cell>
        </row>
        <row r="179">
          <cell r="B179" t="str">
            <v>Jul-24</v>
          </cell>
          <cell r="C179">
            <v>20</v>
          </cell>
          <cell r="D179">
            <v>22</v>
          </cell>
        </row>
        <row r="180">
          <cell r="B180" t="str">
            <v>Jul-24</v>
          </cell>
          <cell r="C180">
            <v>19</v>
          </cell>
          <cell r="D180">
            <v>22</v>
          </cell>
        </row>
        <row r="181">
          <cell r="B181" t="str">
            <v>Jul-24</v>
          </cell>
          <cell r="C181">
            <v>19</v>
          </cell>
          <cell r="D181">
            <v>22</v>
          </cell>
        </row>
        <row r="182">
          <cell r="B182" t="str">
            <v>Jul-24</v>
          </cell>
          <cell r="C182">
            <v>22</v>
          </cell>
          <cell r="D182">
            <v>22</v>
          </cell>
        </row>
        <row r="183">
          <cell r="B183" t="str">
            <v>Aug-24</v>
          </cell>
          <cell r="C183">
            <v>21</v>
          </cell>
          <cell r="D183">
            <v>22</v>
          </cell>
        </row>
        <row r="184">
          <cell r="B184" t="str">
            <v>Aug-24</v>
          </cell>
          <cell r="C184">
            <v>19</v>
          </cell>
          <cell r="D184">
            <v>22</v>
          </cell>
        </row>
        <row r="185">
          <cell r="B185" t="str">
            <v>Aug-24</v>
          </cell>
          <cell r="C185">
            <v>20</v>
          </cell>
          <cell r="D185">
            <v>22</v>
          </cell>
        </row>
        <row r="186">
          <cell r="B186" t="str">
            <v>Aug-24</v>
          </cell>
          <cell r="C186">
            <v>21</v>
          </cell>
          <cell r="D186">
            <v>22</v>
          </cell>
        </row>
        <row r="187">
          <cell r="B187" t="str">
            <v>Aug-24</v>
          </cell>
          <cell r="C187">
            <v>21</v>
          </cell>
          <cell r="D187">
            <v>22</v>
          </cell>
        </row>
        <row r="188">
          <cell r="B188" t="str">
            <v>Aug-24</v>
          </cell>
          <cell r="C188">
            <v>19</v>
          </cell>
          <cell r="D188">
            <v>22</v>
          </cell>
        </row>
        <row r="189">
          <cell r="B189" t="str">
            <v>Aug-24</v>
          </cell>
          <cell r="C189">
            <v>22</v>
          </cell>
          <cell r="D189">
            <v>22</v>
          </cell>
        </row>
        <row r="190">
          <cell r="B190" t="str">
            <v>Aug-24</v>
          </cell>
          <cell r="C190">
            <v>19</v>
          </cell>
          <cell r="D190">
            <v>22</v>
          </cell>
        </row>
        <row r="191">
          <cell r="B191" t="str">
            <v>Aug-24</v>
          </cell>
          <cell r="C191">
            <v>22</v>
          </cell>
          <cell r="D191">
            <v>22</v>
          </cell>
        </row>
        <row r="192">
          <cell r="B192" t="str">
            <v>Aug-24</v>
          </cell>
          <cell r="C192">
            <v>19</v>
          </cell>
          <cell r="D192">
            <v>22</v>
          </cell>
        </row>
        <row r="193">
          <cell r="B193" t="str">
            <v>Aug-24</v>
          </cell>
          <cell r="C193">
            <v>22</v>
          </cell>
          <cell r="D193">
            <v>22</v>
          </cell>
        </row>
        <row r="194">
          <cell r="B194" t="str">
            <v>Aug-24</v>
          </cell>
          <cell r="C194">
            <v>19</v>
          </cell>
          <cell r="D194">
            <v>22</v>
          </cell>
        </row>
        <row r="195">
          <cell r="B195" t="str">
            <v>Aug-24</v>
          </cell>
          <cell r="C195">
            <v>21</v>
          </cell>
          <cell r="D195">
            <v>22</v>
          </cell>
        </row>
        <row r="196">
          <cell r="B196" t="str">
            <v>Aug-24</v>
          </cell>
          <cell r="C196">
            <v>21</v>
          </cell>
          <cell r="D196">
            <v>22</v>
          </cell>
        </row>
        <row r="197">
          <cell r="B197" t="str">
            <v>Aug-24</v>
          </cell>
          <cell r="C197">
            <v>19</v>
          </cell>
          <cell r="D197">
            <v>22</v>
          </cell>
        </row>
        <row r="198">
          <cell r="B198" t="str">
            <v>Aug-24</v>
          </cell>
          <cell r="C198">
            <v>19</v>
          </cell>
          <cell r="D198">
            <v>22</v>
          </cell>
        </row>
        <row r="199">
          <cell r="B199" t="str">
            <v>Aug-24</v>
          </cell>
          <cell r="C199">
            <v>19</v>
          </cell>
          <cell r="D199">
            <v>22</v>
          </cell>
        </row>
        <row r="200">
          <cell r="B200" t="str">
            <v>Aug-24</v>
          </cell>
          <cell r="C200">
            <v>19</v>
          </cell>
          <cell r="D200">
            <v>22</v>
          </cell>
        </row>
        <row r="201">
          <cell r="B201" t="str">
            <v>Aug-24</v>
          </cell>
          <cell r="C201">
            <v>19</v>
          </cell>
          <cell r="D201">
            <v>22</v>
          </cell>
        </row>
        <row r="202">
          <cell r="B202" t="str">
            <v>Aug-24</v>
          </cell>
          <cell r="C202">
            <v>20</v>
          </cell>
          <cell r="D202">
            <v>22</v>
          </cell>
        </row>
        <row r="203">
          <cell r="B203" t="str">
            <v>Aug-24</v>
          </cell>
          <cell r="C203">
            <v>22</v>
          </cell>
          <cell r="D203">
            <v>22</v>
          </cell>
        </row>
        <row r="204">
          <cell r="B204" t="str">
            <v>Aug-24</v>
          </cell>
          <cell r="C204">
            <v>21</v>
          </cell>
          <cell r="D204">
            <v>22</v>
          </cell>
        </row>
        <row r="205">
          <cell r="B205" t="str">
            <v>Aug-24</v>
          </cell>
          <cell r="C205">
            <v>21</v>
          </cell>
          <cell r="D205">
            <v>22</v>
          </cell>
        </row>
        <row r="206">
          <cell r="B206" t="str">
            <v>Aug-24</v>
          </cell>
          <cell r="C206">
            <v>22</v>
          </cell>
          <cell r="D206">
            <v>22</v>
          </cell>
        </row>
        <row r="207">
          <cell r="B207" t="str">
            <v>Aug-24</v>
          </cell>
          <cell r="C207">
            <v>22</v>
          </cell>
          <cell r="D207">
            <v>22</v>
          </cell>
        </row>
        <row r="208">
          <cell r="B208" t="str">
            <v>Aug-24</v>
          </cell>
          <cell r="C208">
            <v>22</v>
          </cell>
          <cell r="D208">
            <v>22</v>
          </cell>
        </row>
        <row r="209">
          <cell r="B209" t="str">
            <v>Aug-24</v>
          </cell>
          <cell r="C209">
            <v>19</v>
          </cell>
          <cell r="D209">
            <v>22</v>
          </cell>
        </row>
        <row r="210">
          <cell r="B210" t="str">
            <v>Aug-24</v>
          </cell>
          <cell r="C210">
            <v>19</v>
          </cell>
          <cell r="D210">
            <v>22</v>
          </cell>
        </row>
        <row r="211">
          <cell r="B211" t="str">
            <v>Sep-24</v>
          </cell>
          <cell r="C211">
            <v>21</v>
          </cell>
          <cell r="D211">
            <v>22</v>
          </cell>
        </row>
        <row r="212">
          <cell r="B212" t="str">
            <v>Sep-24</v>
          </cell>
          <cell r="C212">
            <v>19</v>
          </cell>
          <cell r="D212">
            <v>22</v>
          </cell>
        </row>
        <row r="213">
          <cell r="B213" t="str">
            <v>Sep-24</v>
          </cell>
          <cell r="C213">
            <v>22</v>
          </cell>
          <cell r="D213">
            <v>22</v>
          </cell>
        </row>
        <row r="214">
          <cell r="B214" t="str">
            <v>Sep-24</v>
          </cell>
          <cell r="C214">
            <v>19</v>
          </cell>
          <cell r="D214">
            <v>22</v>
          </cell>
        </row>
        <row r="215">
          <cell r="B215" t="str">
            <v>Sep-24</v>
          </cell>
          <cell r="C215">
            <v>20</v>
          </cell>
          <cell r="D215">
            <v>22</v>
          </cell>
        </row>
        <row r="216">
          <cell r="B216" t="str">
            <v>Sep-24</v>
          </cell>
          <cell r="C216">
            <v>19</v>
          </cell>
          <cell r="D216">
            <v>22</v>
          </cell>
        </row>
        <row r="217">
          <cell r="B217" t="str">
            <v>Sep-24</v>
          </cell>
          <cell r="C217">
            <v>22</v>
          </cell>
          <cell r="D217">
            <v>22</v>
          </cell>
        </row>
        <row r="218">
          <cell r="B218" t="str">
            <v>Sep-24</v>
          </cell>
          <cell r="C218">
            <v>22</v>
          </cell>
          <cell r="D218">
            <v>22</v>
          </cell>
        </row>
        <row r="219">
          <cell r="B219" t="str">
            <v>Sep-24</v>
          </cell>
          <cell r="C219">
            <v>20</v>
          </cell>
          <cell r="D219">
            <v>22</v>
          </cell>
        </row>
        <row r="220">
          <cell r="B220" t="str">
            <v>Sep-24</v>
          </cell>
          <cell r="C220">
            <v>19</v>
          </cell>
          <cell r="D220">
            <v>22</v>
          </cell>
        </row>
        <row r="221">
          <cell r="B221" t="str">
            <v>Sep-24</v>
          </cell>
          <cell r="C221">
            <v>21</v>
          </cell>
          <cell r="D221">
            <v>22</v>
          </cell>
        </row>
        <row r="222">
          <cell r="B222" t="str">
            <v>Sep-24</v>
          </cell>
          <cell r="C222">
            <v>21</v>
          </cell>
          <cell r="D222">
            <v>22</v>
          </cell>
        </row>
        <row r="223">
          <cell r="B223" t="str">
            <v>Sep-24</v>
          </cell>
          <cell r="C223">
            <v>20</v>
          </cell>
          <cell r="D223">
            <v>22</v>
          </cell>
        </row>
        <row r="224">
          <cell r="B224" t="str">
            <v>Sep-24</v>
          </cell>
          <cell r="C224">
            <v>20</v>
          </cell>
          <cell r="D224">
            <v>22</v>
          </cell>
        </row>
        <row r="225">
          <cell r="B225" t="str">
            <v>Sep-24</v>
          </cell>
          <cell r="C225">
            <v>20</v>
          </cell>
          <cell r="D225">
            <v>22</v>
          </cell>
        </row>
        <row r="226">
          <cell r="B226" t="str">
            <v>Sep-24</v>
          </cell>
          <cell r="C226">
            <v>21</v>
          </cell>
          <cell r="D226">
            <v>22</v>
          </cell>
        </row>
        <row r="227">
          <cell r="B227" t="str">
            <v>Sep-24</v>
          </cell>
          <cell r="C227">
            <v>22</v>
          </cell>
          <cell r="D227">
            <v>22</v>
          </cell>
        </row>
        <row r="228">
          <cell r="B228" t="str">
            <v>Sep-24</v>
          </cell>
          <cell r="C228">
            <v>22</v>
          </cell>
          <cell r="D228">
            <v>22</v>
          </cell>
        </row>
        <row r="229">
          <cell r="B229" t="str">
            <v>Sep-24</v>
          </cell>
          <cell r="C229">
            <v>20</v>
          </cell>
          <cell r="D229">
            <v>22</v>
          </cell>
        </row>
        <row r="230">
          <cell r="B230" t="str">
            <v>Sep-24</v>
          </cell>
          <cell r="C230">
            <v>21</v>
          </cell>
          <cell r="D230">
            <v>22</v>
          </cell>
        </row>
        <row r="231">
          <cell r="B231" t="str">
            <v>Sep-24</v>
          </cell>
          <cell r="C231">
            <v>21</v>
          </cell>
          <cell r="D231">
            <v>22</v>
          </cell>
        </row>
        <row r="232">
          <cell r="B232" t="str">
            <v>Sep-24</v>
          </cell>
          <cell r="C232">
            <v>20</v>
          </cell>
          <cell r="D232">
            <v>22</v>
          </cell>
        </row>
        <row r="233">
          <cell r="B233" t="str">
            <v>Sep-24</v>
          </cell>
          <cell r="C233">
            <v>20</v>
          </cell>
          <cell r="D233">
            <v>22</v>
          </cell>
        </row>
        <row r="234">
          <cell r="B234" t="str">
            <v>Sep-24</v>
          </cell>
          <cell r="C234">
            <v>22</v>
          </cell>
          <cell r="D234">
            <v>22</v>
          </cell>
        </row>
        <row r="235">
          <cell r="B235" t="str">
            <v>Sep-24</v>
          </cell>
          <cell r="C235">
            <v>20</v>
          </cell>
          <cell r="D235">
            <v>22</v>
          </cell>
        </row>
        <row r="236">
          <cell r="B236" t="str">
            <v>Sep-24</v>
          </cell>
          <cell r="C236">
            <v>20</v>
          </cell>
          <cell r="D236">
            <v>22</v>
          </cell>
        </row>
        <row r="237">
          <cell r="B237" t="str">
            <v>Sep-24</v>
          </cell>
          <cell r="C237">
            <v>21</v>
          </cell>
          <cell r="D237">
            <v>22</v>
          </cell>
        </row>
        <row r="238">
          <cell r="B238" t="str">
            <v>Sep-24</v>
          </cell>
          <cell r="C238">
            <v>20</v>
          </cell>
          <cell r="D238">
            <v>22</v>
          </cell>
        </row>
        <row r="239">
          <cell r="B239" t="str">
            <v>Oct-24</v>
          </cell>
          <cell r="C239">
            <v>21</v>
          </cell>
          <cell r="D239">
            <v>22</v>
          </cell>
        </row>
        <row r="240">
          <cell r="B240" t="str">
            <v>Oct-24</v>
          </cell>
          <cell r="C240">
            <v>20</v>
          </cell>
          <cell r="D240">
            <v>22</v>
          </cell>
        </row>
        <row r="241">
          <cell r="B241" t="str">
            <v>Oct-24</v>
          </cell>
          <cell r="C241">
            <v>20</v>
          </cell>
          <cell r="D241">
            <v>22</v>
          </cell>
        </row>
        <row r="242">
          <cell r="B242" t="str">
            <v>Oct-24</v>
          </cell>
          <cell r="C242">
            <v>20</v>
          </cell>
          <cell r="D242">
            <v>22</v>
          </cell>
        </row>
        <row r="243">
          <cell r="B243" t="str">
            <v>Oct-24</v>
          </cell>
          <cell r="C243">
            <v>22</v>
          </cell>
          <cell r="D243">
            <v>22</v>
          </cell>
        </row>
        <row r="244">
          <cell r="B244" t="str">
            <v>Oct-24</v>
          </cell>
          <cell r="C244">
            <v>21</v>
          </cell>
          <cell r="D244">
            <v>22</v>
          </cell>
        </row>
        <row r="245">
          <cell r="B245" t="str">
            <v>Oct-24</v>
          </cell>
          <cell r="C245">
            <v>19</v>
          </cell>
          <cell r="D245">
            <v>22</v>
          </cell>
        </row>
        <row r="246">
          <cell r="B246" t="str">
            <v>Oct-24</v>
          </cell>
          <cell r="C246">
            <v>19</v>
          </cell>
          <cell r="D246">
            <v>22</v>
          </cell>
        </row>
        <row r="247">
          <cell r="B247" t="str">
            <v>Oct-24</v>
          </cell>
          <cell r="C247">
            <v>20</v>
          </cell>
          <cell r="D247">
            <v>22</v>
          </cell>
        </row>
        <row r="248">
          <cell r="B248" t="str">
            <v>Oct-24</v>
          </cell>
          <cell r="C248">
            <v>20</v>
          </cell>
          <cell r="D248">
            <v>22</v>
          </cell>
        </row>
        <row r="249">
          <cell r="B249" t="str">
            <v>Oct-24</v>
          </cell>
          <cell r="C249">
            <v>19</v>
          </cell>
          <cell r="D249">
            <v>22</v>
          </cell>
        </row>
        <row r="250">
          <cell r="B250" t="str">
            <v>Oct-24</v>
          </cell>
          <cell r="C250">
            <v>22</v>
          </cell>
          <cell r="D250">
            <v>22</v>
          </cell>
        </row>
        <row r="251">
          <cell r="B251" t="str">
            <v>Oct-24</v>
          </cell>
          <cell r="C251">
            <v>22</v>
          </cell>
          <cell r="D251">
            <v>22</v>
          </cell>
        </row>
        <row r="252">
          <cell r="B252" t="str">
            <v>Oct-24</v>
          </cell>
          <cell r="C252">
            <v>20</v>
          </cell>
          <cell r="D252">
            <v>22</v>
          </cell>
        </row>
        <row r="253">
          <cell r="B253" t="str">
            <v>Oct-24</v>
          </cell>
          <cell r="C253">
            <v>20</v>
          </cell>
          <cell r="D253">
            <v>22</v>
          </cell>
        </row>
        <row r="254">
          <cell r="B254" t="str">
            <v>Oct-24</v>
          </cell>
          <cell r="C254">
            <v>22</v>
          </cell>
          <cell r="D254">
            <v>22</v>
          </cell>
        </row>
        <row r="255">
          <cell r="B255" t="str">
            <v>Oct-24</v>
          </cell>
          <cell r="C255">
            <v>21</v>
          </cell>
          <cell r="D255">
            <v>22</v>
          </cell>
        </row>
        <row r="256">
          <cell r="B256" t="str">
            <v>Oct-24</v>
          </cell>
          <cell r="C256">
            <v>22</v>
          </cell>
          <cell r="D256">
            <v>22</v>
          </cell>
        </row>
        <row r="257">
          <cell r="B257" t="str">
            <v>Oct-24</v>
          </cell>
          <cell r="C257">
            <v>21</v>
          </cell>
          <cell r="D257">
            <v>22</v>
          </cell>
        </row>
        <row r="258">
          <cell r="B258" t="str">
            <v>Oct-24</v>
          </cell>
          <cell r="C258">
            <v>22</v>
          </cell>
          <cell r="D258">
            <v>22</v>
          </cell>
        </row>
        <row r="259">
          <cell r="B259" t="str">
            <v>Oct-24</v>
          </cell>
          <cell r="C259">
            <v>21</v>
          </cell>
          <cell r="D259">
            <v>22</v>
          </cell>
        </row>
        <row r="260">
          <cell r="B260" t="str">
            <v>Oct-24</v>
          </cell>
          <cell r="C260">
            <v>19</v>
          </cell>
          <cell r="D260">
            <v>22</v>
          </cell>
        </row>
        <row r="261">
          <cell r="B261" t="str">
            <v>Oct-24</v>
          </cell>
          <cell r="C261">
            <v>19</v>
          </cell>
          <cell r="D261">
            <v>22</v>
          </cell>
        </row>
        <row r="262">
          <cell r="B262" t="str">
            <v>Oct-24</v>
          </cell>
          <cell r="C262">
            <v>20</v>
          </cell>
          <cell r="D262">
            <v>22</v>
          </cell>
        </row>
        <row r="263">
          <cell r="B263" t="str">
            <v>Oct-24</v>
          </cell>
          <cell r="C263">
            <v>19</v>
          </cell>
          <cell r="D263">
            <v>22</v>
          </cell>
        </row>
        <row r="264">
          <cell r="B264" t="str">
            <v>Oct-24</v>
          </cell>
          <cell r="C264">
            <v>20</v>
          </cell>
          <cell r="D264">
            <v>22</v>
          </cell>
        </row>
        <row r="265">
          <cell r="B265" t="str">
            <v>Oct-24</v>
          </cell>
          <cell r="C265">
            <v>21</v>
          </cell>
          <cell r="D265">
            <v>22</v>
          </cell>
        </row>
        <row r="266">
          <cell r="B266" t="str">
            <v>Oct-24</v>
          </cell>
          <cell r="C266">
            <v>21</v>
          </cell>
          <cell r="D266">
            <v>22</v>
          </cell>
        </row>
        <row r="267">
          <cell r="B267" t="str">
            <v>Nov-24</v>
          </cell>
          <cell r="C267">
            <v>19</v>
          </cell>
          <cell r="D267">
            <v>22</v>
          </cell>
        </row>
        <row r="268">
          <cell r="B268" t="str">
            <v>Nov-24</v>
          </cell>
          <cell r="C268">
            <v>20</v>
          </cell>
          <cell r="D268">
            <v>22</v>
          </cell>
        </row>
        <row r="269">
          <cell r="B269" t="str">
            <v>Nov-24</v>
          </cell>
          <cell r="C269">
            <v>21</v>
          </cell>
          <cell r="D269">
            <v>22</v>
          </cell>
        </row>
        <row r="270">
          <cell r="B270" t="str">
            <v>Nov-24</v>
          </cell>
          <cell r="C270">
            <v>22</v>
          </cell>
          <cell r="D270">
            <v>22</v>
          </cell>
        </row>
        <row r="271">
          <cell r="B271" t="str">
            <v>Nov-24</v>
          </cell>
          <cell r="C271">
            <v>20</v>
          </cell>
          <cell r="D271">
            <v>22</v>
          </cell>
        </row>
        <row r="272">
          <cell r="B272" t="str">
            <v>Nov-24</v>
          </cell>
          <cell r="C272">
            <v>19</v>
          </cell>
          <cell r="D272">
            <v>22</v>
          </cell>
        </row>
        <row r="273">
          <cell r="B273" t="str">
            <v>Nov-24</v>
          </cell>
          <cell r="C273">
            <v>20</v>
          </cell>
          <cell r="D273">
            <v>22</v>
          </cell>
        </row>
        <row r="274">
          <cell r="B274" t="str">
            <v>Nov-24</v>
          </cell>
          <cell r="C274">
            <v>20</v>
          </cell>
          <cell r="D274">
            <v>22</v>
          </cell>
        </row>
        <row r="275">
          <cell r="B275" t="str">
            <v>Nov-24</v>
          </cell>
          <cell r="C275">
            <v>20</v>
          </cell>
          <cell r="D275">
            <v>22</v>
          </cell>
        </row>
        <row r="276">
          <cell r="B276" t="str">
            <v>Nov-24</v>
          </cell>
          <cell r="C276">
            <v>19</v>
          </cell>
          <cell r="D276">
            <v>22</v>
          </cell>
        </row>
        <row r="277">
          <cell r="B277" t="str">
            <v>Nov-24</v>
          </cell>
          <cell r="C277">
            <v>19</v>
          </cell>
          <cell r="D277">
            <v>22</v>
          </cell>
        </row>
        <row r="278">
          <cell r="B278" t="str">
            <v>Nov-24</v>
          </cell>
          <cell r="C278">
            <v>22</v>
          </cell>
          <cell r="D278">
            <v>22</v>
          </cell>
        </row>
        <row r="279">
          <cell r="B279" t="str">
            <v>Nov-24</v>
          </cell>
          <cell r="C279">
            <v>19</v>
          </cell>
          <cell r="D279">
            <v>22</v>
          </cell>
        </row>
        <row r="280">
          <cell r="B280" t="str">
            <v>Nov-24</v>
          </cell>
          <cell r="C280">
            <v>21</v>
          </cell>
          <cell r="D280">
            <v>22</v>
          </cell>
        </row>
        <row r="281">
          <cell r="B281" t="str">
            <v>Nov-24</v>
          </cell>
          <cell r="C281">
            <v>19</v>
          </cell>
          <cell r="D281">
            <v>22</v>
          </cell>
        </row>
        <row r="282">
          <cell r="B282" t="str">
            <v>Nov-24</v>
          </cell>
          <cell r="C282">
            <v>20</v>
          </cell>
          <cell r="D282">
            <v>22</v>
          </cell>
        </row>
        <row r="283">
          <cell r="B283" t="str">
            <v>Nov-24</v>
          </cell>
          <cell r="C283">
            <v>20</v>
          </cell>
          <cell r="D283">
            <v>22</v>
          </cell>
        </row>
        <row r="284">
          <cell r="B284" t="str">
            <v>Nov-24</v>
          </cell>
          <cell r="C284">
            <v>22</v>
          </cell>
          <cell r="D284">
            <v>22</v>
          </cell>
        </row>
        <row r="285">
          <cell r="B285" t="str">
            <v>Nov-24</v>
          </cell>
          <cell r="C285">
            <v>20</v>
          </cell>
          <cell r="D285">
            <v>22</v>
          </cell>
        </row>
        <row r="286">
          <cell r="B286" t="str">
            <v>Nov-24</v>
          </cell>
          <cell r="C286">
            <v>20</v>
          </cell>
          <cell r="D286">
            <v>22</v>
          </cell>
        </row>
        <row r="287">
          <cell r="B287" t="str">
            <v>Nov-24</v>
          </cell>
          <cell r="C287">
            <v>19</v>
          </cell>
          <cell r="D287">
            <v>22</v>
          </cell>
        </row>
        <row r="288">
          <cell r="B288" t="str">
            <v>Nov-24</v>
          </cell>
          <cell r="C288">
            <v>22</v>
          </cell>
          <cell r="D288">
            <v>22</v>
          </cell>
        </row>
        <row r="289">
          <cell r="B289" t="str">
            <v>Nov-24</v>
          </cell>
          <cell r="C289">
            <v>19</v>
          </cell>
          <cell r="D289">
            <v>22</v>
          </cell>
        </row>
        <row r="290">
          <cell r="B290" t="str">
            <v>Nov-24</v>
          </cell>
          <cell r="C290">
            <v>20</v>
          </cell>
          <cell r="D290">
            <v>22</v>
          </cell>
        </row>
        <row r="291">
          <cell r="B291" t="str">
            <v>Nov-24</v>
          </cell>
          <cell r="C291">
            <v>20</v>
          </cell>
          <cell r="D291">
            <v>22</v>
          </cell>
        </row>
        <row r="292">
          <cell r="B292" t="str">
            <v>Nov-24</v>
          </cell>
          <cell r="C292">
            <v>20</v>
          </cell>
          <cell r="D292">
            <v>22</v>
          </cell>
        </row>
        <row r="293">
          <cell r="B293" t="str">
            <v>Nov-24</v>
          </cell>
          <cell r="C293">
            <v>21</v>
          </cell>
          <cell r="D293">
            <v>22</v>
          </cell>
        </row>
        <row r="294">
          <cell r="B294" t="str">
            <v>Nov-24</v>
          </cell>
          <cell r="C294">
            <v>20</v>
          </cell>
          <cell r="D294">
            <v>22</v>
          </cell>
        </row>
        <row r="295">
          <cell r="B295" t="str">
            <v>Nov-24</v>
          </cell>
          <cell r="C295">
            <v>21</v>
          </cell>
          <cell r="D295">
            <v>22</v>
          </cell>
        </row>
        <row r="296">
          <cell r="B296" t="str">
            <v>Dec-24</v>
          </cell>
          <cell r="C296">
            <v>18</v>
          </cell>
          <cell r="D296">
            <v>20</v>
          </cell>
        </row>
        <row r="297">
          <cell r="B297" t="str">
            <v>Dec-24</v>
          </cell>
          <cell r="C297">
            <v>17</v>
          </cell>
          <cell r="D297">
            <v>20</v>
          </cell>
        </row>
        <row r="298">
          <cell r="B298" t="str">
            <v>Dec-24</v>
          </cell>
          <cell r="C298">
            <v>20</v>
          </cell>
          <cell r="D298">
            <v>20</v>
          </cell>
        </row>
        <row r="299">
          <cell r="B299" t="str">
            <v>Dec-24</v>
          </cell>
          <cell r="C299">
            <v>19</v>
          </cell>
          <cell r="D299">
            <v>20</v>
          </cell>
        </row>
        <row r="300">
          <cell r="B300" t="str">
            <v>Dec-24</v>
          </cell>
          <cell r="C300">
            <v>18</v>
          </cell>
          <cell r="D300">
            <v>20</v>
          </cell>
        </row>
        <row r="301">
          <cell r="B301" t="str">
            <v>Dec-24</v>
          </cell>
          <cell r="C301">
            <v>20</v>
          </cell>
          <cell r="D301">
            <v>20</v>
          </cell>
        </row>
        <row r="302">
          <cell r="B302" t="str">
            <v>Dec-24</v>
          </cell>
          <cell r="C302">
            <v>20</v>
          </cell>
          <cell r="D302">
            <v>20</v>
          </cell>
        </row>
        <row r="303">
          <cell r="B303" t="str">
            <v>Dec-24</v>
          </cell>
          <cell r="C303">
            <v>18</v>
          </cell>
          <cell r="D303">
            <v>20</v>
          </cell>
        </row>
        <row r="304">
          <cell r="B304" t="str">
            <v>Dec-24</v>
          </cell>
          <cell r="C304">
            <v>17</v>
          </cell>
          <cell r="D304">
            <v>20</v>
          </cell>
        </row>
        <row r="305">
          <cell r="B305" t="str">
            <v>Dec-24</v>
          </cell>
          <cell r="C305">
            <v>19</v>
          </cell>
          <cell r="D305">
            <v>20</v>
          </cell>
        </row>
        <row r="306">
          <cell r="B306" t="str">
            <v>Dec-24</v>
          </cell>
          <cell r="C306">
            <v>19</v>
          </cell>
          <cell r="D306">
            <v>20</v>
          </cell>
        </row>
        <row r="307">
          <cell r="B307" t="str">
            <v>Dec-24</v>
          </cell>
          <cell r="C307">
            <v>20</v>
          </cell>
          <cell r="D307">
            <v>20</v>
          </cell>
        </row>
        <row r="308">
          <cell r="B308" t="str">
            <v>Dec-24</v>
          </cell>
          <cell r="C308">
            <v>19</v>
          </cell>
          <cell r="D308">
            <v>20</v>
          </cell>
        </row>
        <row r="309">
          <cell r="B309" t="str">
            <v>Dec-24</v>
          </cell>
          <cell r="C309">
            <v>18</v>
          </cell>
          <cell r="D309">
            <v>20</v>
          </cell>
        </row>
        <row r="310">
          <cell r="B310" t="str">
            <v>Dec-24</v>
          </cell>
          <cell r="C310">
            <v>18</v>
          </cell>
          <cell r="D310">
            <v>20</v>
          </cell>
        </row>
        <row r="311">
          <cell r="B311" t="str">
            <v>Dec-24</v>
          </cell>
          <cell r="C311">
            <v>18</v>
          </cell>
          <cell r="D311">
            <v>20</v>
          </cell>
        </row>
        <row r="312">
          <cell r="B312" t="str">
            <v>Dec-24</v>
          </cell>
          <cell r="C312">
            <v>18</v>
          </cell>
          <cell r="D312">
            <v>20</v>
          </cell>
        </row>
        <row r="313">
          <cell r="B313" t="str">
            <v>Dec-24</v>
          </cell>
          <cell r="C313">
            <v>18</v>
          </cell>
          <cell r="D313">
            <v>20</v>
          </cell>
        </row>
        <row r="314">
          <cell r="B314" t="str">
            <v>Dec-24</v>
          </cell>
          <cell r="C314">
            <v>19</v>
          </cell>
          <cell r="D314">
            <v>20</v>
          </cell>
        </row>
        <row r="315">
          <cell r="B315" t="str">
            <v>Dec-24</v>
          </cell>
          <cell r="C315">
            <v>17</v>
          </cell>
          <cell r="D315">
            <v>20</v>
          </cell>
        </row>
        <row r="316">
          <cell r="B316" t="str">
            <v>Dec-24</v>
          </cell>
          <cell r="C316">
            <v>19</v>
          </cell>
          <cell r="D316">
            <v>20</v>
          </cell>
        </row>
        <row r="317">
          <cell r="B317" t="str">
            <v>Dec-24</v>
          </cell>
          <cell r="C317">
            <v>19</v>
          </cell>
          <cell r="D317">
            <v>20</v>
          </cell>
        </row>
        <row r="318">
          <cell r="B318" t="str">
            <v>Dec-24</v>
          </cell>
          <cell r="C318">
            <v>19</v>
          </cell>
          <cell r="D318">
            <v>20</v>
          </cell>
        </row>
        <row r="319">
          <cell r="B319" t="str">
            <v>Dec-24</v>
          </cell>
          <cell r="C319">
            <v>17</v>
          </cell>
          <cell r="D319">
            <v>20</v>
          </cell>
        </row>
        <row r="320">
          <cell r="B320" t="str">
            <v>Dec-24</v>
          </cell>
          <cell r="C320">
            <v>19</v>
          </cell>
          <cell r="D320">
            <v>20</v>
          </cell>
        </row>
        <row r="321">
          <cell r="B321" t="str">
            <v>Dec-24</v>
          </cell>
          <cell r="C321">
            <v>17</v>
          </cell>
          <cell r="D321">
            <v>20</v>
          </cell>
        </row>
        <row r="322">
          <cell r="B322" t="str">
            <v>Dec-24</v>
          </cell>
          <cell r="C322">
            <v>17</v>
          </cell>
          <cell r="D322">
            <v>20</v>
          </cell>
        </row>
        <row r="323">
          <cell r="B323" t="str">
            <v>Dec-24</v>
          </cell>
          <cell r="C323">
            <v>20</v>
          </cell>
          <cell r="D323">
            <v>20</v>
          </cell>
        </row>
        <row r="324">
          <cell r="B324" t="str">
            <v>Jan-25</v>
          </cell>
          <cell r="C324">
            <v>21</v>
          </cell>
          <cell r="D324">
            <v>22</v>
          </cell>
        </row>
        <row r="325">
          <cell r="B325" t="str">
            <v>Jan-25</v>
          </cell>
          <cell r="C325">
            <v>22</v>
          </cell>
          <cell r="D325">
            <v>22</v>
          </cell>
        </row>
        <row r="326">
          <cell r="B326" t="str">
            <v>Jan-25</v>
          </cell>
          <cell r="C326">
            <v>20</v>
          </cell>
          <cell r="D326">
            <v>22</v>
          </cell>
        </row>
        <row r="327">
          <cell r="B327" t="str">
            <v>Jan-25</v>
          </cell>
          <cell r="C327">
            <v>22</v>
          </cell>
          <cell r="D327">
            <v>22</v>
          </cell>
        </row>
        <row r="328">
          <cell r="B328" t="str">
            <v>Jan-25</v>
          </cell>
          <cell r="C328">
            <v>19</v>
          </cell>
          <cell r="D328">
            <v>22</v>
          </cell>
        </row>
        <row r="329">
          <cell r="B329" t="str">
            <v>Jan-25</v>
          </cell>
          <cell r="C329">
            <v>20</v>
          </cell>
          <cell r="D329">
            <v>22</v>
          </cell>
        </row>
        <row r="330">
          <cell r="B330" t="str">
            <v>Jan-25</v>
          </cell>
          <cell r="C330">
            <v>19</v>
          </cell>
          <cell r="D330">
            <v>22</v>
          </cell>
        </row>
        <row r="331">
          <cell r="B331" t="str">
            <v>Jan-25</v>
          </cell>
          <cell r="C331">
            <v>22</v>
          </cell>
          <cell r="D331">
            <v>22</v>
          </cell>
        </row>
        <row r="332">
          <cell r="B332" t="str">
            <v>Jan-25</v>
          </cell>
          <cell r="C332">
            <v>19</v>
          </cell>
          <cell r="D332">
            <v>22</v>
          </cell>
        </row>
        <row r="333">
          <cell r="B333" t="str">
            <v>Jan-25</v>
          </cell>
          <cell r="C333">
            <v>20</v>
          </cell>
          <cell r="D333">
            <v>22</v>
          </cell>
        </row>
        <row r="334">
          <cell r="B334" t="str">
            <v>Jan-25</v>
          </cell>
          <cell r="C334">
            <v>21</v>
          </cell>
          <cell r="D334">
            <v>22</v>
          </cell>
        </row>
        <row r="335">
          <cell r="B335" t="str">
            <v>Jan-25</v>
          </cell>
          <cell r="C335">
            <v>20</v>
          </cell>
          <cell r="D335">
            <v>22</v>
          </cell>
        </row>
        <row r="336">
          <cell r="B336" t="str">
            <v>Jan-25</v>
          </cell>
          <cell r="C336">
            <v>22</v>
          </cell>
          <cell r="D336">
            <v>22</v>
          </cell>
        </row>
        <row r="337">
          <cell r="B337" t="str">
            <v>Jan-25</v>
          </cell>
          <cell r="C337">
            <v>20</v>
          </cell>
          <cell r="D337">
            <v>22</v>
          </cell>
        </row>
        <row r="338">
          <cell r="B338" t="str">
            <v>Jan-25</v>
          </cell>
          <cell r="C338">
            <v>22</v>
          </cell>
          <cell r="D338">
            <v>22</v>
          </cell>
        </row>
        <row r="339">
          <cell r="B339" t="str">
            <v>Jan-25</v>
          </cell>
          <cell r="C339">
            <v>22</v>
          </cell>
          <cell r="D339">
            <v>22</v>
          </cell>
        </row>
        <row r="340">
          <cell r="B340" t="str">
            <v>Jan-25</v>
          </cell>
          <cell r="C340">
            <v>19</v>
          </cell>
          <cell r="D340">
            <v>22</v>
          </cell>
        </row>
        <row r="341">
          <cell r="B341" t="str">
            <v>Jan-25</v>
          </cell>
          <cell r="C341">
            <v>20</v>
          </cell>
          <cell r="D341">
            <v>22</v>
          </cell>
        </row>
        <row r="342">
          <cell r="B342" t="str">
            <v>Jan-25</v>
          </cell>
          <cell r="C342">
            <v>22</v>
          </cell>
          <cell r="D342">
            <v>22</v>
          </cell>
        </row>
        <row r="343">
          <cell r="B343" t="str">
            <v>Jan-25</v>
          </cell>
          <cell r="C343">
            <v>21</v>
          </cell>
          <cell r="D343">
            <v>22</v>
          </cell>
        </row>
        <row r="344">
          <cell r="B344" t="str">
            <v>Jan-25</v>
          </cell>
          <cell r="C344">
            <v>20</v>
          </cell>
          <cell r="D344">
            <v>22</v>
          </cell>
        </row>
        <row r="345">
          <cell r="B345" t="str">
            <v>Jan-25</v>
          </cell>
          <cell r="C345">
            <v>20</v>
          </cell>
          <cell r="D345">
            <v>22</v>
          </cell>
        </row>
        <row r="346">
          <cell r="B346" t="str">
            <v>Jan-25</v>
          </cell>
          <cell r="C346">
            <v>21</v>
          </cell>
          <cell r="D346">
            <v>22</v>
          </cell>
        </row>
        <row r="347">
          <cell r="B347" t="str">
            <v>Jan-25</v>
          </cell>
          <cell r="C347">
            <v>21</v>
          </cell>
          <cell r="D347">
            <v>22</v>
          </cell>
        </row>
        <row r="348">
          <cell r="B348" t="str">
            <v>Jan-25</v>
          </cell>
          <cell r="C348">
            <v>20</v>
          </cell>
          <cell r="D348">
            <v>22</v>
          </cell>
        </row>
        <row r="349">
          <cell r="B349" t="str">
            <v>Jan-25</v>
          </cell>
          <cell r="C349">
            <v>21</v>
          </cell>
          <cell r="D349">
            <v>22</v>
          </cell>
        </row>
        <row r="350">
          <cell r="B350" t="str">
            <v>Jan-25</v>
          </cell>
          <cell r="C350">
            <v>20</v>
          </cell>
          <cell r="D350">
            <v>22</v>
          </cell>
        </row>
        <row r="351">
          <cell r="B351" t="str">
            <v>Jan-25</v>
          </cell>
          <cell r="C351">
            <v>20</v>
          </cell>
          <cell r="D351">
            <v>22</v>
          </cell>
        </row>
        <row r="352">
          <cell r="B352" t="str">
            <v>Feb-25</v>
          </cell>
          <cell r="C352">
            <v>22</v>
          </cell>
          <cell r="D352">
            <v>22</v>
          </cell>
        </row>
        <row r="353">
          <cell r="B353" t="str">
            <v>Feb-25</v>
          </cell>
          <cell r="C353">
            <v>20</v>
          </cell>
          <cell r="D353">
            <v>22</v>
          </cell>
        </row>
        <row r="354">
          <cell r="B354" t="str">
            <v>Feb-25</v>
          </cell>
          <cell r="C354">
            <v>22</v>
          </cell>
          <cell r="D354">
            <v>22</v>
          </cell>
        </row>
        <row r="355">
          <cell r="B355" t="str">
            <v>Feb-25</v>
          </cell>
          <cell r="C355">
            <v>19</v>
          </cell>
          <cell r="D355">
            <v>22</v>
          </cell>
        </row>
        <row r="356">
          <cell r="B356" t="str">
            <v>Feb-25</v>
          </cell>
          <cell r="C356">
            <v>19</v>
          </cell>
          <cell r="D356">
            <v>22</v>
          </cell>
        </row>
        <row r="357">
          <cell r="B357" t="str">
            <v>Feb-25</v>
          </cell>
          <cell r="C357">
            <v>21</v>
          </cell>
          <cell r="D357">
            <v>22</v>
          </cell>
        </row>
        <row r="358">
          <cell r="B358" t="str">
            <v>Feb-25</v>
          </cell>
          <cell r="C358">
            <v>19</v>
          </cell>
          <cell r="D358">
            <v>22</v>
          </cell>
        </row>
        <row r="359">
          <cell r="B359" t="str">
            <v>Feb-25</v>
          </cell>
          <cell r="C359">
            <v>19</v>
          </cell>
          <cell r="D359">
            <v>22</v>
          </cell>
        </row>
        <row r="360">
          <cell r="B360" t="str">
            <v>Feb-25</v>
          </cell>
          <cell r="C360">
            <v>21</v>
          </cell>
          <cell r="D360">
            <v>22</v>
          </cell>
        </row>
        <row r="361">
          <cell r="B361" t="str">
            <v>Feb-25</v>
          </cell>
          <cell r="C361">
            <v>19</v>
          </cell>
          <cell r="D361">
            <v>22</v>
          </cell>
        </row>
        <row r="362">
          <cell r="B362" t="str">
            <v>Feb-25</v>
          </cell>
          <cell r="C362">
            <v>22</v>
          </cell>
          <cell r="D362">
            <v>22</v>
          </cell>
        </row>
        <row r="363">
          <cell r="B363" t="str">
            <v>Feb-25</v>
          </cell>
          <cell r="C363">
            <v>19</v>
          </cell>
          <cell r="D363">
            <v>22</v>
          </cell>
        </row>
        <row r="364">
          <cell r="B364" t="str">
            <v>Feb-25</v>
          </cell>
          <cell r="C364">
            <v>20</v>
          </cell>
          <cell r="D364">
            <v>22</v>
          </cell>
        </row>
        <row r="365">
          <cell r="B365" t="str">
            <v>Feb-25</v>
          </cell>
          <cell r="C365">
            <v>19</v>
          </cell>
          <cell r="D365">
            <v>22</v>
          </cell>
        </row>
        <row r="366">
          <cell r="B366" t="str">
            <v>Feb-25</v>
          </cell>
          <cell r="C366">
            <v>22</v>
          </cell>
          <cell r="D366">
            <v>22</v>
          </cell>
        </row>
        <row r="367">
          <cell r="B367" t="str">
            <v>Feb-25</v>
          </cell>
          <cell r="C367">
            <v>22</v>
          </cell>
          <cell r="D367">
            <v>22</v>
          </cell>
        </row>
        <row r="368">
          <cell r="B368" t="str">
            <v>Feb-25</v>
          </cell>
          <cell r="C368">
            <v>21</v>
          </cell>
          <cell r="D368">
            <v>22</v>
          </cell>
        </row>
        <row r="369">
          <cell r="B369" t="str">
            <v>Feb-25</v>
          </cell>
          <cell r="C369">
            <v>20</v>
          </cell>
          <cell r="D369">
            <v>22</v>
          </cell>
        </row>
        <row r="370">
          <cell r="B370" t="str">
            <v>Feb-25</v>
          </cell>
          <cell r="C370">
            <v>20</v>
          </cell>
          <cell r="D370">
            <v>22</v>
          </cell>
        </row>
        <row r="371">
          <cell r="B371" t="str">
            <v>Feb-25</v>
          </cell>
          <cell r="C371">
            <v>22</v>
          </cell>
          <cell r="D371">
            <v>22</v>
          </cell>
        </row>
        <row r="372">
          <cell r="B372" t="str">
            <v>Feb-25</v>
          </cell>
          <cell r="C372">
            <v>22</v>
          </cell>
          <cell r="D372">
            <v>22</v>
          </cell>
        </row>
        <row r="373">
          <cell r="B373" t="str">
            <v>Feb-25</v>
          </cell>
          <cell r="C373">
            <v>20</v>
          </cell>
          <cell r="D373">
            <v>22</v>
          </cell>
        </row>
        <row r="374">
          <cell r="B374" t="str">
            <v>Feb-25</v>
          </cell>
          <cell r="C374">
            <v>21</v>
          </cell>
          <cell r="D374">
            <v>22</v>
          </cell>
        </row>
        <row r="375">
          <cell r="B375" t="str">
            <v>Feb-25</v>
          </cell>
          <cell r="C375">
            <v>22</v>
          </cell>
          <cell r="D375">
            <v>22</v>
          </cell>
        </row>
        <row r="376">
          <cell r="B376" t="str">
            <v>Feb-25</v>
          </cell>
          <cell r="C376">
            <v>22</v>
          </cell>
          <cell r="D376">
            <v>22</v>
          </cell>
        </row>
        <row r="377">
          <cell r="B377" t="str">
            <v>Feb-25</v>
          </cell>
          <cell r="C377">
            <v>21</v>
          </cell>
          <cell r="D377">
            <v>22</v>
          </cell>
        </row>
        <row r="378">
          <cell r="B378" t="str">
            <v>Feb-25</v>
          </cell>
          <cell r="C378">
            <v>19</v>
          </cell>
          <cell r="D378">
            <v>22</v>
          </cell>
        </row>
        <row r="379">
          <cell r="B379" t="str">
            <v>Feb-25</v>
          </cell>
          <cell r="C379">
            <v>20</v>
          </cell>
          <cell r="D379">
            <v>22</v>
          </cell>
        </row>
        <row r="380">
          <cell r="B380" t="str">
            <v>Mar-25</v>
          </cell>
          <cell r="C380">
            <v>22</v>
          </cell>
          <cell r="D380">
            <v>22</v>
          </cell>
        </row>
        <row r="381">
          <cell r="B381" t="str">
            <v>Mar-25</v>
          </cell>
          <cell r="C381">
            <v>19</v>
          </cell>
          <cell r="D381">
            <v>22</v>
          </cell>
        </row>
        <row r="382">
          <cell r="B382" t="str">
            <v>Mar-25</v>
          </cell>
          <cell r="C382">
            <v>20</v>
          </cell>
          <cell r="D382">
            <v>22</v>
          </cell>
        </row>
        <row r="383">
          <cell r="B383" t="str">
            <v>Mar-25</v>
          </cell>
          <cell r="C383">
            <v>20</v>
          </cell>
          <cell r="D383">
            <v>22</v>
          </cell>
        </row>
        <row r="384">
          <cell r="B384" t="str">
            <v>Mar-25</v>
          </cell>
          <cell r="C384">
            <v>19</v>
          </cell>
          <cell r="D384">
            <v>22</v>
          </cell>
        </row>
        <row r="385">
          <cell r="B385" t="str">
            <v>Mar-25</v>
          </cell>
          <cell r="C385">
            <v>19</v>
          </cell>
          <cell r="D385">
            <v>22</v>
          </cell>
        </row>
        <row r="386">
          <cell r="B386" t="str">
            <v>Mar-25</v>
          </cell>
          <cell r="C386">
            <v>20</v>
          </cell>
          <cell r="D386">
            <v>22</v>
          </cell>
        </row>
        <row r="387">
          <cell r="B387" t="str">
            <v>Mar-25</v>
          </cell>
          <cell r="C387">
            <v>20</v>
          </cell>
          <cell r="D387">
            <v>22</v>
          </cell>
        </row>
        <row r="388">
          <cell r="B388" t="str">
            <v>Mar-25</v>
          </cell>
          <cell r="C388">
            <v>20</v>
          </cell>
          <cell r="D388">
            <v>22</v>
          </cell>
        </row>
        <row r="389">
          <cell r="B389" t="str">
            <v>Mar-25</v>
          </cell>
          <cell r="C389">
            <v>19</v>
          </cell>
          <cell r="D389">
            <v>22</v>
          </cell>
        </row>
        <row r="390">
          <cell r="B390" t="str">
            <v>Mar-25</v>
          </cell>
          <cell r="C390">
            <v>21</v>
          </cell>
          <cell r="D390">
            <v>22</v>
          </cell>
        </row>
        <row r="391">
          <cell r="B391" t="str">
            <v>Mar-25</v>
          </cell>
          <cell r="C391">
            <v>21</v>
          </cell>
          <cell r="D391">
            <v>22</v>
          </cell>
        </row>
        <row r="392">
          <cell r="B392" t="str">
            <v>Mar-25</v>
          </cell>
          <cell r="C392">
            <v>21</v>
          </cell>
          <cell r="D392">
            <v>22</v>
          </cell>
        </row>
        <row r="393">
          <cell r="B393" t="str">
            <v>Mar-25</v>
          </cell>
          <cell r="C393">
            <v>20</v>
          </cell>
          <cell r="D393">
            <v>22</v>
          </cell>
        </row>
        <row r="394">
          <cell r="B394" t="str">
            <v>Mar-25</v>
          </cell>
          <cell r="C394">
            <v>22</v>
          </cell>
          <cell r="D394">
            <v>22</v>
          </cell>
        </row>
        <row r="395">
          <cell r="B395" t="str">
            <v>Mar-25</v>
          </cell>
          <cell r="C395">
            <v>19</v>
          </cell>
          <cell r="D395">
            <v>22</v>
          </cell>
        </row>
        <row r="396">
          <cell r="B396" t="str">
            <v>Mar-25</v>
          </cell>
          <cell r="C396">
            <v>22</v>
          </cell>
          <cell r="D396">
            <v>22</v>
          </cell>
        </row>
        <row r="397">
          <cell r="B397" t="str">
            <v>Mar-25</v>
          </cell>
          <cell r="C397">
            <v>19</v>
          </cell>
          <cell r="D397">
            <v>22</v>
          </cell>
        </row>
        <row r="398">
          <cell r="B398" t="str">
            <v>Mar-25</v>
          </cell>
          <cell r="C398">
            <v>20</v>
          </cell>
          <cell r="D398">
            <v>22</v>
          </cell>
        </row>
        <row r="399">
          <cell r="B399" t="str">
            <v>Mar-25</v>
          </cell>
          <cell r="C399">
            <v>20</v>
          </cell>
          <cell r="D399">
            <v>22</v>
          </cell>
        </row>
        <row r="400">
          <cell r="B400" t="str">
            <v>Mar-25</v>
          </cell>
          <cell r="C400">
            <v>22</v>
          </cell>
          <cell r="D400">
            <v>22</v>
          </cell>
        </row>
        <row r="401">
          <cell r="B401" t="str">
            <v>Mar-25</v>
          </cell>
          <cell r="C401">
            <v>19</v>
          </cell>
          <cell r="D401">
            <v>22</v>
          </cell>
        </row>
        <row r="402">
          <cell r="B402" t="str">
            <v>Mar-25</v>
          </cell>
          <cell r="C402">
            <v>21</v>
          </cell>
          <cell r="D402">
            <v>22</v>
          </cell>
        </row>
        <row r="403">
          <cell r="B403" t="str">
            <v>Mar-25</v>
          </cell>
          <cell r="C403">
            <v>22</v>
          </cell>
          <cell r="D403">
            <v>22</v>
          </cell>
        </row>
        <row r="404">
          <cell r="B404" t="str">
            <v>Mar-25</v>
          </cell>
          <cell r="C404">
            <v>20</v>
          </cell>
          <cell r="D404">
            <v>22</v>
          </cell>
        </row>
        <row r="405">
          <cell r="B405" t="str">
            <v>Mar-25</v>
          </cell>
          <cell r="C405">
            <v>20</v>
          </cell>
          <cell r="D405">
            <v>22</v>
          </cell>
        </row>
        <row r="406">
          <cell r="B406" t="str">
            <v>Mar-25</v>
          </cell>
          <cell r="C406">
            <v>20</v>
          </cell>
          <cell r="D406">
            <v>22</v>
          </cell>
        </row>
        <row r="407">
          <cell r="B407" t="str">
            <v>Mar-25</v>
          </cell>
          <cell r="C407">
            <v>20</v>
          </cell>
          <cell r="D407">
            <v>22</v>
          </cell>
        </row>
        <row r="408">
          <cell r="B408" t="str">
            <v>Apr-25</v>
          </cell>
          <cell r="C408">
            <v>20</v>
          </cell>
          <cell r="D408">
            <v>22</v>
          </cell>
        </row>
        <row r="409">
          <cell r="B409" t="str">
            <v>Apr-25</v>
          </cell>
          <cell r="C409">
            <v>20</v>
          </cell>
          <cell r="D409">
            <v>22</v>
          </cell>
        </row>
        <row r="410">
          <cell r="B410" t="str">
            <v>Apr-25</v>
          </cell>
          <cell r="C410">
            <v>21</v>
          </cell>
          <cell r="D410">
            <v>22</v>
          </cell>
        </row>
        <row r="411">
          <cell r="B411" t="str">
            <v>Apr-25</v>
          </cell>
          <cell r="C411">
            <v>20</v>
          </cell>
          <cell r="D411">
            <v>22</v>
          </cell>
        </row>
        <row r="412">
          <cell r="B412" t="str">
            <v>Apr-25</v>
          </cell>
          <cell r="C412">
            <v>21</v>
          </cell>
          <cell r="D412">
            <v>22</v>
          </cell>
        </row>
        <row r="413">
          <cell r="B413" t="str">
            <v>Apr-25</v>
          </cell>
          <cell r="C413">
            <v>21</v>
          </cell>
          <cell r="D413">
            <v>22</v>
          </cell>
        </row>
        <row r="414">
          <cell r="B414" t="str">
            <v>Apr-25</v>
          </cell>
          <cell r="C414">
            <v>20</v>
          </cell>
          <cell r="D414">
            <v>22</v>
          </cell>
        </row>
        <row r="415">
          <cell r="B415" t="str">
            <v>Apr-25</v>
          </cell>
          <cell r="C415">
            <v>20</v>
          </cell>
          <cell r="D415">
            <v>22</v>
          </cell>
        </row>
        <row r="416">
          <cell r="B416" t="str">
            <v>Apr-25</v>
          </cell>
          <cell r="C416">
            <v>20</v>
          </cell>
          <cell r="D416">
            <v>22</v>
          </cell>
        </row>
        <row r="417">
          <cell r="B417" t="str">
            <v>Apr-25</v>
          </cell>
          <cell r="C417">
            <v>19</v>
          </cell>
          <cell r="D417">
            <v>22</v>
          </cell>
        </row>
        <row r="418">
          <cell r="B418" t="str">
            <v>Apr-25</v>
          </cell>
          <cell r="C418">
            <v>20</v>
          </cell>
          <cell r="D418">
            <v>22</v>
          </cell>
        </row>
        <row r="419">
          <cell r="B419" t="str">
            <v>Apr-25</v>
          </cell>
          <cell r="C419">
            <v>20</v>
          </cell>
          <cell r="D419">
            <v>22</v>
          </cell>
        </row>
        <row r="420">
          <cell r="B420" t="str">
            <v>Apr-25</v>
          </cell>
          <cell r="C420">
            <v>20</v>
          </cell>
          <cell r="D420">
            <v>22</v>
          </cell>
        </row>
        <row r="421">
          <cell r="B421" t="str">
            <v>Apr-25</v>
          </cell>
          <cell r="C421">
            <v>19</v>
          </cell>
          <cell r="D421">
            <v>22</v>
          </cell>
        </row>
        <row r="422">
          <cell r="B422" t="str">
            <v>Apr-25</v>
          </cell>
          <cell r="C422">
            <v>20</v>
          </cell>
          <cell r="D422">
            <v>22</v>
          </cell>
        </row>
        <row r="423">
          <cell r="B423" t="str">
            <v>Apr-25</v>
          </cell>
          <cell r="C423">
            <v>21</v>
          </cell>
          <cell r="D423">
            <v>22</v>
          </cell>
        </row>
        <row r="424">
          <cell r="B424" t="str">
            <v>Apr-25</v>
          </cell>
          <cell r="C424">
            <v>19</v>
          </cell>
          <cell r="D424">
            <v>22</v>
          </cell>
        </row>
        <row r="425">
          <cell r="B425" t="str">
            <v>Apr-25</v>
          </cell>
          <cell r="C425">
            <v>22</v>
          </cell>
          <cell r="D425">
            <v>22</v>
          </cell>
        </row>
        <row r="426">
          <cell r="B426" t="str">
            <v>Apr-25</v>
          </cell>
          <cell r="C426">
            <v>22</v>
          </cell>
          <cell r="D426">
            <v>22</v>
          </cell>
        </row>
        <row r="427">
          <cell r="B427" t="str">
            <v>Apr-25</v>
          </cell>
          <cell r="C427">
            <v>20</v>
          </cell>
          <cell r="D427">
            <v>22</v>
          </cell>
        </row>
        <row r="428">
          <cell r="B428" t="str">
            <v>Apr-25</v>
          </cell>
          <cell r="C428">
            <v>20</v>
          </cell>
          <cell r="D428">
            <v>22</v>
          </cell>
        </row>
        <row r="429">
          <cell r="B429" t="str">
            <v>Apr-25</v>
          </cell>
          <cell r="C429">
            <v>21</v>
          </cell>
          <cell r="D429">
            <v>22</v>
          </cell>
        </row>
        <row r="430">
          <cell r="B430" t="str">
            <v>Apr-25</v>
          </cell>
          <cell r="C430">
            <v>19</v>
          </cell>
          <cell r="D430">
            <v>22</v>
          </cell>
        </row>
        <row r="431">
          <cell r="B431" t="str">
            <v>Apr-25</v>
          </cell>
          <cell r="C431">
            <v>19</v>
          </cell>
          <cell r="D431">
            <v>22</v>
          </cell>
        </row>
        <row r="432">
          <cell r="B432" t="str">
            <v>Apr-25</v>
          </cell>
          <cell r="C432">
            <v>20</v>
          </cell>
          <cell r="D432">
            <v>22</v>
          </cell>
        </row>
        <row r="433">
          <cell r="B433" t="str">
            <v>Apr-25</v>
          </cell>
          <cell r="C433">
            <v>21</v>
          </cell>
          <cell r="D433">
            <v>22</v>
          </cell>
        </row>
        <row r="434">
          <cell r="B434" t="str">
            <v>Apr-25</v>
          </cell>
          <cell r="C434">
            <v>21</v>
          </cell>
          <cell r="D434">
            <v>22</v>
          </cell>
        </row>
        <row r="435">
          <cell r="B435" t="str">
            <v>Apr-25</v>
          </cell>
          <cell r="C435">
            <v>19</v>
          </cell>
          <cell r="D435">
            <v>22</v>
          </cell>
        </row>
        <row r="436">
          <cell r="B436" t="str">
            <v>May-25</v>
          </cell>
          <cell r="C436">
            <v>21</v>
          </cell>
          <cell r="D436">
            <v>22</v>
          </cell>
        </row>
        <row r="437">
          <cell r="B437" t="str">
            <v>May-25</v>
          </cell>
          <cell r="C437">
            <v>20</v>
          </cell>
          <cell r="D437">
            <v>22</v>
          </cell>
        </row>
        <row r="438">
          <cell r="B438" t="str">
            <v>May-25</v>
          </cell>
          <cell r="C438">
            <v>19</v>
          </cell>
          <cell r="D438">
            <v>22</v>
          </cell>
        </row>
        <row r="439">
          <cell r="B439" t="str">
            <v>May-25</v>
          </cell>
          <cell r="C439">
            <v>22</v>
          </cell>
          <cell r="D439">
            <v>22</v>
          </cell>
        </row>
        <row r="440">
          <cell r="B440" t="str">
            <v>May-25</v>
          </cell>
          <cell r="C440">
            <v>19</v>
          </cell>
          <cell r="D440">
            <v>22</v>
          </cell>
        </row>
        <row r="441">
          <cell r="B441" t="str">
            <v>May-25</v>
          </cell>
          <cell r="C441">
            <v>19</v>
          </cell>
          <cell r="D441">
            <v>22</v>
          </cell>
        </row>
        <row r="442">
          <cell r="B442" t="str">
            <v>May-25</v>
          </cell>
          <cell r="C442">
            <v>19</v>
          </cell>
          <cell r="D442">
            <v>22</v>
          </cell>
        </row>
        <row r="443">
          <cell r="B443" t="str">
            <v>May-25</v>
          </cell>
          <cell r="C443">
            <v>22</v>
          </cell>
          <cell r="D443">
            <v>22</v>
          </cell>
        </row>
        <row r="444">
          <cell r="B444" t="str">
            <v>May-25</v>
          </cell>
          <cell r="C444">
            <v>20</v>
          </cell>
          <cell r="D444">
            <v>22</v>
          </cell>
        </row>
        <row r="445">
          <cell r="B445" t="str">
            <v>May-25</v>
          </cell>
          <cell r="C445">
            <v>20</v>
          </cell>
          <cell r="D445">
            <v>22</v>
          </cell>
        </row>
        <row r="446">
          <cell r="B446" t="str">
            <v>May-25</v>
          </cell>
          <cell r="C446">
            <v>20</v>
          </cell>
          <cell r="D446">
            <v>22</v>
          </cell>
        </row>
        <row r="447">
          <cell r="B447" t="str">
            <v>May-25</v>
          </cell>
          <cell r="C447">
            <v>19</v>
          </cell>
          <cell r="D447">
            <v>22</v>
          </cell>
        </row>
        <row r="448">
          <cell r="B448" t="str">
            <v>May-25</v>
          </cell>
          <cell r="C448">
            <v>20</v>
          </cell>
          <cell r="D448">
            <v>22</v>
          </cell>
        </row>
        <row r="449">
          <cell r="B449" t="str">
            <v>May-25</v>
          </cell>
          <cell r="C449">
            <v>20</v>
          </cell>
          <cell r="D449">
            <v>22</v>
          </cell>
        </row>
        <row r="450">
          <cell r="B450" t="str">
            <v>May-25</v>
          </cell>
          <cell r="C450">
            <v>20</v>
          </cell>
          <cell r="D450">
            <v>22</v>
          </cell>
        </row>
        <row r="451">
          <cell r="B451" t="str">
            <v>May-25</v>
          </cell>
          <cell r="C451">
            <v>21</v>
          </cell>
          <cell r="D451">
            <v>22</v>
          </cell>
        </row>
        <row r="452">
          <cell r="B452" t="str">
            <v>May-25</v>
          </cell>
          <cell r="C452">
            <v>19</v>
          </cell>
          <cell r="D452">
            <v>22</v>
          </cell>
        </row>
        <row r="453">
          <cell r="B453" t="str">
            <v>May-25</v>
          </cell>
          <cell r="C453">
            <v>19</v>
          </cell>
          <cell r="D453">
            <v>22</v>
          </cell>
        </row>
        <row r="454">
          <cell r="B454" t="str">
            <v>May-25</v>
          </cell>
          <cell r="C454">
            <v>20</v>
          </cell>
          <cell r="D454">
            <v>22</v>
          </cell>
        </row>
        <row r="455">
          <cell r="B455" t="str">
            <v>May-25</v>
          </cell>
          <cell r="C455">
            <v>22</v>
          </cell>
          <cell r="D455">
            <v>22</v>
          </cell>
        </row>
        <row r="456">
          <cell r="B456" t="str">
            <v>May-25</v>
          </cell>
          <cell r="C456">
            <v>19</v>
          </cell>
          <cell r="D456">
            <v>22</v>
          </cell>
        </row>
        <row r="457">
          <cell r="B457" t="str">
            <v>May-25</v>
          </cell>
          <cell r="C457">
            <v>19</v>
          </cell>
          <cell r="D457">
            <v>22</v>
          </cell>
        </row>
        <row r="458">
          <cell r="B458" t="str">
            <v>May-25</v>
          </cell>
          <cell r="C458">
            <v>21</v>
          </cell>
          <cell r="D458">
            <v>22</v>
          </cell>
        </row>
        <row r="459">
          <cell r="B459" t="str">
            <v>May-25</v>
          </cell>
          <cell r="C459">
            <v>21</v>
          </cell>
          <cell r="D459">
            <v>22</v>
          </cell>
        </row>
        <row r="460">
          <cell r="B460" t="str">
            <v>May-25</v>
          </cell>
          <cell r="C460">
            <v>22</v>
          </cell>
          <cell r="D460">
            <v>22</v>
          </cell>
        </row>
        <row r="461">
          <cell r="B461" t="str">
            <v>May-25</v>
          </cell>
          <cell r="C461">
            <v>22</v>
          </cell>
          <cell r="D461">
            <v>22</v>
          </cell>
        </row>
        <row r="462">
          <cell r="B462" t="str">
            <v>May-25</v>
          </cell>
          <cell r="C462">
            <v>21</v>
          </cell>
          <cell r="D462">
            <v>22</v>
          </cell>
        </row>
        <row r="463">
          <cell r="B463" t="str">
            <v>May-25</v>
          </cell>
          <cell r="C463">
            <v>22</v>
          </cell>
          <cell r="D463">
            <v>22</v>
          </cell>
        </row>
        <row r="464">
          <cell r="B464" t="str">
            <v>Jun-25</v>
          </cell>
          <cell r="C464">
            <v>20</v>
          </cell>
          <cell r="D464">
            <v>22</v>
          </cell>
        </row>
        <row r="465">
          <cell r="B465" t="str">
            <v>Jun-25</v>
          </cell>
          <cell r="C465">
            <v>21</v>
          </cell>
          <cell r="D465">
            <v>22</v>
          </cell>
        </row>
        <row r="466">
          <cell r="B466" t="str">
            <v>Jun-25</v>
          </cell>
          <cell r="C466">
            <v>19</v>
          </cell>
          <cell r="D466">
            <v>22</v>
          </cell>
        </row>
        <row r="467">
          <cell r="B467" t="str">
            <v>Jun-25</v>
          </cell>
          <cell r="C467">
            <v>19</v>
          </cell>
          <cell r="D467">
            <v>22</v>
          </cell>
        </row>
        <row r="468">
          <cell r="B468" t="str">
            <v>Jun-25</v>
          </cell>
          <cell r="C468">
            <v>20</v>
          </cell>
          <cell r="D468">
            <v>22</v>
          </cell>
        </row>
        <row r="469">
          <cell r="B469" t="str">
            <v>Jun-25</v>
          </cell>
          <cell r="C469">
            <v>20</v>
          </cell>
          <cell r="D469">
            <v>22</v>
          </cell>
        </row>
        <row r="470">
          <cell r="B470" t="str">
            <v>Jun-25</v>
          </cell>
          <cell r="C470">
            <v>22</v>
          </cell>
          <cell r="D470">
            <v>22</v>
          </cell>
        </row>
        <row r="471">
          <cell r="B471" t="str">
            <v>Jun-25</v>
          </cell>
          <cell r="C471">
            <v>22</v>
          </cell>
          <cell r="D471">
            <v>22</v>
          </cell>
        </row>
        <row r="472">
          <cell r="B472" t="str">
            <v>Jun-25</v>
          </cell>
          <cell r="C472">
            <v>21</v>
          </cell>
          <cell r="D472">
            <v>22</v>
          </cell>
        </row>
        <row r="473">
          <cell r="B473" t="str">
            <v>Jun-25</v>
          </cell>
          <cell r="C473">
            <v>21</v>
          </cell>
          <cell r="D473">
            <v>22</v>
          </cell>
        </row>
        <row r="474">
          <cell r="B474" t="str">
            <v>Jun-25</v>
          </cell>
          <cell r="C474">
            <v>21</v>
          </cell>
          <cell r="D474">
            <v>22</v>
          </cell>
        </row>
        <row r="475">
          <cell r="B475" t="str">
            <v>Jun-25</v>
          </cell>
          <cell r="C475">
            <v>20</v>
          </cell>
          <cell r="D475">
            <v>22</v>
          </cell>
        </row>
        <row r="476">
          <cell r="B476" t="str">
            <v>Jun-25</v>
          </cell>
          <cell r="C476">
            <v>20</v>
          </cell>
          <cell r="D476">
            <v>22</v>
          </cell>
        </row>
        <row r="477">
          <cell r="B477" t="str">
            <v>Jun-25</v>
          </cell>
          <cell r="C477">
            <v>19</v>
          </cell>
          <cell r="D477">
            <v>22</v>
          </cell>
        </row>
        <row r="478">
          <cell r="B478" t="str">
            <v>Jun-25</v>
          </cell>
          <cell r="C478">
            <v>19</v>
          </cell>
          <cell r="D478">
            <v>22</v>
          </cell>
        </row>
        <row r="479">
          <cell r="B479" t="str">
            <v>Jun-25</v>
          </cell>
          <cell r="C479">
            <v>21</v>
          </cell>
          <cell r="D479">
            <v>22</v>
          </cell>
        </row>
        <row r="480">
          <cell r="B480" t="str">
            <v>Jun-25</v>
          </cell>
          <cell r="C480">
            <v>19</v>
          </cell>
          <cell r="D480">
            <v>22</v>
          </cell>
        </row>
        <row r="481">
          <cell r="B481" t="str">
            <v>Jun-25</v>
          </cell>
          <cell r="C481">
            <v>21</v>
          </cell>
          <cell r="D481">
            <v>22</v>
          </cell>
        </row>
        <row r="482">
          <cell r="B482" t="str">
            <v>Jun-25</v>
          </cell>
          <cell r="C482">
            <v>20</v>
          </cell>
          <cell r="D482">
            <v>22</v>
          </cell>
        </row>
        <row r="483">
          <cell r="B483" t="str">
            <v>Jun-25</v>
          </cell>
          <cell r="C483">
            <v>21</v>
          </cell>
          <cell r="D483">
            <v>22</v>
          </cell>
        </row>
        <row r="484">
          <cell r="B484" t="str">
            <v>Jun-25</v>
          </cell>
          <cell r="C484">
            <v>20</v>
          </cell>
          <cell r="D484">
            <v>22</v>
          </cell>
        </row>
        <row r="485">
          <cell r="B485" t="str">
            <v>Jun-25</v>
          </cell>
          <cell r="C485">
            <v>20</v>
          </cell>
          <cell r="D485">
            <v>22</v>
          </cell>
        </row>
        <row r="486">
          <cell r="B486" t="str">
            <v>Jun-25</v>
          </cell>
          <cell r="C486">
            <v>19</v>
          </cell>
          <cell r="D486">
            <v>22</v>
          </cell>
        </row>
        <row r="487">
          <cell r="B487" t="str">
            <v>Jun-25</v>
          </cell>
          <cell r="C487">
            <v>20</v>
          </cell>
          <cell r="D487">
            <v>22</v>
          </cell>
        </row>
        <row r="488">
          <cell r="B488" t="str">
            <v>Jun-25</v>
          </cell>
          <cell r="C488">
            <v>21</v>
          </cell>
          <cell r="D488">
            <v>22</v>
          </cell>
        </row>
        <row r="489">
          <cell r="B489" t="str">
            <v>Jun-25</v>
          </cell>
          <cell r="C489">
            <v>20</v>
          </cell>
          <cell r="D489">
            <v>22</v>
          </cell>
        </row>
        <row r="490">
          <cell r="B490" t="str">
            <v>Jun-25</v>
          </cell>
          <cell r="C490">
            <v>21</v>
          </cell>
          <cell r="D490">
            <v>22</v>
          </cell>
        </row>
        <row r="491">
          <cell r="B491" t="str">
            <v>Jun-25</v>
          </cell>
          <cell r="C491">
            <v>21</v>
          </cell>
          <cell r="D491">
            <v>22</v>
          </cell>
        </row>
        <row r="492">
          <cell r="B492" t="str">
            <v>Jul-25</v>
          </cell>
          <cell r="C492">
            <v>22</v>
          </cell>
          <cell r="D492">
            <v>22</v>
          </cell>
        </row>
        <row r="493">
          <cell r="B493" t="str">
            <v>Jul-25</v>
          </cell>
          <cell r="C493">
            <v>20</v>
          </cell>
          <cell r="D493">
            <v>22</v>
          </cell>
        </row>
        <row r="494">
          <cell r="B494" t="str">
            <v>Jul-25</v>
          </cell>
          <cell r="C494">
            <v>21</v>
          </cell>
          <cell r="D494">
            <v>22</v>
          </cell>
        </row>
        <row r="495">
          <cell r="B495" t="str">
            <v>Jul-25</v>
          </cell>
          <cell r="C495">
            <v>20</v>
          </cell>
          <cell r="D495">
            <v>22</v>
          </cell>
        </row>
        <row r="496">
          <cell r="B496" t="str">
            <v>Jul-25</v>
          </cell>
          <cell r="C496">
            <v>20</v>
          </cell>
          <cell r="D496">
            <v>22</v>
          </cell>
        </row>
        <row r="497">
          <cell r="B497" t="str">
            <v>Jul-25</v>
          </cell>
          <cell r="C497">
            <v>19</v>
          </cell>
          <cell r="D497">
            <v>22</v>
          </cell>
        </row>
        <row r="498">
          <cell r="B498" t="str">
            <v>Jul-25</v>
          </cell>
          <cell r="C498">
            <v>21</v>
          </cell>
          <cell r="D498">
            <v>22</v>
          </cell>
        </row>
        <row r="499">
          <cell r="B499" t="str">
            <v>Jul-25</v>
          </cell>
          <cell r="C499">
            <v>21</v>
          </cell>
          <cell r="D499">
            <v>22</v>
          </cell>
        </row>
        <row r="500">
          <cell r="B500" t="str">
            <v>Jul-25</v>
          </cell>
          <cell r="C500">
            <v>22</v>
          </cell>
          <cell r="D500">
            <v>22</v>
          </cell>
        </row>
        <row r="501">
          <cell r="B501" t="str">
            <v>Jul-25</v>
          </cell>
          <cell r="C501">
            <v>19</v>
          </cell>
          <cell r="D501">
            <v>22</v>
          </cell>
        </row>
        <row r="502">
          <cell r="B502" t="str">
            <v>Jul-25</v>
          </cell>
          <cell r="C502">
            <v>19</v>
          </cell>
          <cell r="D502">
            <v>22</v>
          </cell>
        </row>
        <row r="503">
          <cell r="B503" t="str">
            <v>Jul-25</v>
          </cell>
          <cell r="C503">
            <v>21</v>
          </cell>
          <cell r="D503">
            <v>22</v>
          </cell>
        </row>
        <row r="504">
          <cell r="B504" t="str">
            <v>Jul-25</v>
          </cell>
          <cell r="C504">
            <v>19</v>
          </cell>
          <cell r="D504">
            <v>22</v>
          </cell>
        </row>
        <row r="505">
          <cell r="B505" t="str">
            <v>Jul-25</v>
          </cell>
          <cell r="C505">
            <v>20</v>
          </cell>
          <cell r="D505">
            <v>22</v>
          </cell>
        </row>
        <row r="506">
          <cell r="B506" t="str">
            <v>Jul-25</v>
          </cell>
          <cell r="C506">
            <v>20</v>
          </cell>
          <cell r="D506">
            <v>22</v>
          </cell>
        </row>
        <row r="507">
          <cell r="B507" t="str">
            <v>Jul-25</v>
          </cell>
          <cell r="C507">
            <v>21</v>
          </cell>
          <cell r="D507">
            <v>22</v>
          </cell>
        </row>
        <row r="508">
          <cell r="B508" t="str">
            <v>Jul-25</v>
          </cell>
          <cell r="C508">
            <v>21</v>
          </cell>
          <cell r="D508">
            <v>22</v>
          </cell>
        </row>
        <row r="509">
          <cell r="B509" t="str">
            <v>Jul-25</v>
          </cell>
          <cell r="C509">
            <v>20</v>
          </cell>
          <cell r="D509">
            <v>22</v>
          </cell>
        </row>
        <row r="510">
          <cell r="B510" t="str">
            <v>Jul-25</v>
          </cell>
          <cell r="C510">
            <v>21</v>
          </cell>
          <cell r="D510">
            <v>22</v>
          </cell>
        </row>
        <row r="511">
          <cell r="B511" t="str">
            <v>Jul-25</v>
          </cell>
          <cell r="C511">
            <v>20</v>
          </cell>
          <cell r="D511">
            <v>22</v>
          </cell>
        </row>
        <row r="512">
          <cell r="B512" t="str">
            <v>Jul-25</v>
          </cell>
          <cell r="C512">
            <v>19</v>
          </cell>
          <cell r="D512">
            <v>22</v>
          </cell>
        </row>
        <row r="513">
          <cell r="B513" t="str">
            <v>Jul-25</v>
          </cell>
          <cell r="C513">
            <v>21</v>
          </cell>
          <cell r="D513">
            <v>22</v>
          </cell>
        </row>
        <row r="514">
          <cell r="B514" t="str">
            <v>Jul-25</v>
          </cell>
          <cell r="C514">
            <v>22</v>
          </cell>
          <cell r="D514">
            <v>22</v>
          </cell>
        </row>
        <row r="515">
          <cell r="B515" t="str">
            <v>Jul-25</v>
          </cell>
          <cell r="C515">
            <v>20</v>
          </cell>
          <cell r="D515">
            <v>22</v>
          </cell>
        </row>
        <row r="516">
          <cell r="B516" t="str">
            <v>Jul-25</v>
          </cell>
          <cell r="C516">
            <v>19</v>
          </cell>
          <cell r="D516">
            <v>22</v>
          </cell>
        </row>
        <row r="517">
          <cell r="B517" t="str">
            <v>Jul-25</v>
          </cell>
          <cell r="C517">
            <v>21</v>
          </cell>
          <cell r="D517">
            <v>22</v>
          </cell>
        </row>
        <row r="518">
          <cell r="B518" t="str">
            <v>Jul-25</v>
          </cell>
          <cell r="C518">
            <v>19</v>
          </cell>
          <cell r="D518">
            <v>22</v>
          </cell>
        </row>
        <row r="519">
          <cell r="B519" t="str">
            <v>Jul-25</v>
          </cell>
          <cell r="C519">
            <v>19</v>
          </cell>
          <cell r="D519">
            <v>22</v>
          </cell>
        </row>
        <row r="520">
          <cell r="B520" t="str">
            <v>Aug-25</v>
          </cell>
          <cell r="C520">
            <v>19</v>
          </cell>
          <cell r="D520">
            <v>22</v>
          </cell>
        </row>
        <row r="521">
          <cell r="B521" t="str">
            <v>Aug-25</v>
          </cell>
          <cell r="C521">
            <v>20</v>
          </cell>
          <cell r="D521">
            <v>22</v>
          </cell>
        </row>
        <row r="522">
          <cell r="B522" t="str">
            <v>Aug-25</v>
          </cell>
          <cell r="C522">
            <v>20</v>
          </cell>
          <cell r="D522">
            <v>22</v>
          </cell>
        </row>
        <row r="523">
          <cell r="B523" t="str">
            <v>Aug-25</v>
          </cell>
          <cell r="C523">
            <v>22</v>
          </cell>
          <cell r="D523">
            <v>22</v>
          </cell>
        </row>
        <row r="524">
          <cell r="B524" t="str">
            <v>Aug-25</v>
          </cell>
          <cell r="C524">
            <v>21</v>
          </cell>
          <cell r="D524">
            <v>22</v>
          </cell>
        </row>
        <row r="525">
          <cell r="B525" t="str">
            <v>Aug-25</v>
          </cell>
          <cell r="C525">
            <v>19</v>
          </cell>
          <cell r="D525">
            <v>22</v>
          </cell>
        </row>
        <row r="526">
          <cell r="B526" t="str">
            <v>Aug-25</v>
          </cell>
          <cell r="C526">
            <v>20</v>
          </cell>
          <cell r="D526">
            <v>22</v>
          </cell>
        </row>
        <row r="527">
          <cell r="B527" t="str">
            <v>Aug-25</v>
          </cell>
          <cell r="C527">
            <v>21</v>
          </cell>
          <cell r="D527">
            <v>22</v>
          </cell>
        </row>
        <row r="528">
          <cell r="B528" t="str">
            <v>Aug-25</v>
          </cell>
          <cell r="C528">
            <v>19</v>
          </cell>
          <cell r="D528">
            <v>22</v>
          </cell>
        </row>
        <row r="529">
          <cell r="B529" t="str">
            <v>Aug-25</v>
          </cell>
          <cell r="C529">
            <v>19</v>
          </cell>
          <cell r="D529">
            <v>22</v>
          </cell>
        </row>
        <row r="530">
          <cell r="B530" t="str">
            <v>Aug-25</v>
          </cell>
          <cell r="C530">
            <v>20</v>
          </cell>
          <cell r="D530">
            <v>22</v>
          </cell>
        </row>
        <row r="531">
          <cell r="B531" t="str">
            <v>Aug-25</v>
          </cell>
          <cell r="C531">
            <v>20</v>
          </cell>
          <cell r="D531">
            <v>22</v>
          </cell>
        </row>
        <row r="532">
          <cell r="B532" t="str">
            <v>Aug-25</v>
          </cell>
          <cell r="C532">
            <v>20</v>
          </cell>
          <cell r="D532">
            <v>22</v>
          </cell>
        </row>
        <row r="533">
          <cell r="B533" t="str">
            <v>Aug-25</v>
          </cell>
          <cell r="C533">
            <v>21</v>
          </cell>
          <cell r="D533">
            <v>22</v>
          </cell>
        </row>
        <row r="534">
          <cell r="B534" t="str">
            <v>Aug-25</v>
          </cell>
          <cell r="C534">
            <v>22</v>
          </cell>
          <cell r="D534">
            <v>22</v>
          </cell>
        </row>
        <row r="535">
          <cell r="B535" t="str">
            <v>Aug-25</v>
          </cell>
          <cell r="C535">
            <v>19</v>
          </cell>
          <cell r="D535">
            <v>22</v>
          </cell>
        </row>
        <row r="536">
          <cell r="B536" t="str">
            <v>Aug-25</v>
          </cell>
          <cell r="C536">
            <v>22</v>
          </cell>
          <cell r="D536">
            <v>22</v>
          </cell>
        </row>
        <row r="537">
          <cell r="B537" t="str">
            <v>Aug-25</v>
          </cell>
          <cell r="C537">
            <v>19</v>
          </cell>
          <cell r="D537">
            <v>22</v>
          </cell>
        </row>
        <row r="538">
          <cell r="B538" t="str">
            <v>Aug-25</v>
          </cell>
          <cell r="C538">
            <v>19</v>
          </cell>
          <cell r="D538">
            <v>22</v>
          </cell>
        </row>
        <row r="539">
          <cell r="B539" t="str">
            <v>Aug-25</v>
          </cell>
          <cell r="C539">
            <v>21</v>
          </cell>
          <cell r="D539">
            <v>22</v>
          </cell>
        </row>
        <row r="540">
          <cell r="B540" t="str">
            <v>Aug-25</v>
          </cell>
          <cell r="C540">
            <v>20</v>
          </cell>
          <cell r="D540">
            <v>22</v>
          </cell>
        </row>
        <row r="541">
          <cell r="B541" t="str">
            <v>Aug-25</v>
          </cell>
          <cell r="C541">
            <v>21</v>
          </cell>
          <cell r="D541">
            <v>22</v>
          </cell>
        </row>
        <row r="542">
          <cell r="B542" t="str">
            <v>Aug-25</v>
          </cell>
          <cell r="C542">
            <v>22</v>
          </cell>
          <cell r="D542">
            <v>22</v>
          </cell>
        </row>
        <row r="543">
          <cell r="B543" t="str">
            <v>Aug-25</v>
          </cell>
          <cell r="C543">
            <v>20</v>
          </cell>
          <cell r="D543">
            <v>22</v>
          </cell>
        </row>
        <row r="544">
          <cell r="B544" t="str">
            <v>Aug-25</v>
          </cell>
          <cell r="C544">
            <v>22</v>
          </cell>
          <cell r="D544">
            <v>22</v>
          </cell>
        </row>
        <row r="545">
          <cell r="B545" t="str">
            <v>Aug-25</v>
          </cell>
          <cell r="C545">
            <v>19</v>
          </cell>
          <cell r="D545">
            <v>22</v>
          </cell>
        </row>
        <row r="546">
          <cell r="B546" t="str">
            <v>Aug-25</v>
          </cell>
          <cell r="C546">
            <v>22</v>
          </cell>
          <cell r="D546">
            <v>22</v>
          </cell>
        </row>
        <row r="547">
          <cell r="B547" t="str">
            <v>Sep-25</v>
          </cell>
          <cell r="C547">
            <v>22</v>
          </cell>
          <cell r="D547">
            <v>22</v>
          </cell>
        </row>
        <row r="548">
          <cell r="B548" t="str">
            <v>Sep-25</v>
          </cell>
          <cell r="C548">
            <v>22</v>
          </cell>
          <cell r="D548">
            <v>22</v>
          </cell>
        </row>
        <row r="549">
          <cell r="B549" t="str">
            <v>Sep-25</v>
          </cell>
          <cell r="C549">
            <v>21</v>
          </cell>
          <cell r="D549">
            <v>22</v>
          </cell>
        </row>
        <row r="550">
          <cell r="B550" t="str">
            <v>Sep-25</v>
          </cell>
          <cell r="C550">
            <v>21</v>
          </cell>
          <cell r="D550">
            <v>22</v>
          </cell>
        </row>
        <row r="551">
          <cell r="B551" t="str">
            <v>Sep-25</v>
          </cell>
          <cell r="C551">
            <v>21</v>
          </cell>
          <cell r="D551">
            <v>22</v>
          </cell>
        </row>
        <row r="552">
          <cell r="B552" t="str">
            <v>Sep-25</v>
          </cell>
          <cell r="C552">
            <v>21</v>
          </cell>
          <cell r="D552">
            <v>22</v>
          </cell>
        </row>
        <row r="553">
          <cell r="B553" t="str">
            <v>Sep-25</v>
          </cell>
          <cell r="C553">
            <v>21</v>
          </cell>
          <cell r="D553">
            <v>22</v>
          </cell>
        </row>
        <row r="554">
          <cell r="B554" t="str">
            <v>Sep-25</v>
          </cell>
          <cell r="C554">
            <v>22</v>
          </cell>
          <cell r="D554">
            <v>22</v>
          </cell>
        </row>
        <row r="555">
          <cell r="B555" t="str">
            <v>Sep-25</v>
          </cell>
          <cell r="C555">
            <v>20</v>
          </cell>
          <cell r="D555">
            <v>22</v>
          </cell>
        </row>
        <row r="556">
          <cell r="B556" t="str">
            <v>Sep-25</v>
          </cell>
          <cell r="C556">
            <v>21</v>
          </cell>
          <cell r="D556">
            <v>22</v>
          </cell>
        </row>
        <row r="557">
          <cell r="B557" t="str">
            <v>Sep-25</v>
          </cell>
          <cell r="C557">
            <v>21</v>
          </cell>
          <cell r="D557">
            <v>22</v>
          </cell>
        </row>
        <row r="558">
          <cell r="B558" t="str">
            <v>Sep-25</v>
          </cell>
          <cell r="C558">
            <v>19</v>
          </cell>
          <cell r="D558">
            <v>22</v>
          </cell>
        </row>
        <row r="559">
          <cell r="B559" t="str">
            <v>Sep-25</v>
          </cell>
          <cell r="C559">
            <v>19</v>
          </cell>
          <cell r="D559">
            <v>22</v>
          </cell>
        </row>
        <row r="560">
          <cell r="B560" t="str">
            <v>Sep-25</v>
          </cell>
          <cell r="C560">
            <v>20</v>
          </cell>
          <cell r="D560">
            <v>22</v>
          </cell>
        </row>
        <row r="561">
          <cell r="B561" t="str">
            <v>Sep-25</v>
          </cell>
          <cell r="C561">
            <v>19</v>
          </cell>
          <cell r="D561">
            <v>22</v>
          </cell>
        </row>
        <row r="562">
          <cell r="B562" t="str">
            <v>Sep-25</v>
          </cell>
          <cell r="C562">
            <v>20</v>
          </cell>
          <cell r="D562">
            <v>22</v>
          </cell>
        </row>
        <row r="563">
          <cell r="B563" t="str">
            <v>Sep-25</v>
          </cell>
          <cell r="C563">
            <v>22</v>
          </cell>
          <cell r="D563">
            <v>22</v>
          </cell>
        </row>
        <row r="564">
          <cell r="B564" t="str">
            <v>Sep-25</v>
          </cell>
          <cell r="C564">
            <v>21</v>
          </cell>
          <cell r="D564">
            <v>22</v>
          </cell>
        </row>
        <row r="565">
          <cell r="B565" t="str">
            <v>Sep-25</v>
          </cell>
          <cell r="C565">
            <v>19</v>
          </cell>
          <cell r="D565">
            <v>22</v>
          </cell>
        </row>
        <row r="566">
          <cell r="B566" t="str">
            <v>Sep-25</v>
          </cell>
          <cell r="C566">
            <v>21</v>
          </cell>
          <cell r="D566">
            <v>22</v>
          </cell>
        </row>
        <row r="567">
          <cell r="B567" t="str">
            <v>Sep-25</v>
          </cell>
          <cell r="C567">
            <v>21</v>
          </cell>
          <cell r="D567">
            <v>22</v>
          </cell>
        </row>
        <row r="568">
          <cell r="B568" t="str">
            <v>Sep-25</v>
          </cell>
          <cell r="C568">
            <v>19</v>
          </cell>
          <cell r="D568">
            <v>22</v>
          </cell>
        </row>
        <row r="569">
          <cell r="B569" t="str">
            <v>Sep-25</v>
          </cell>
          <cell r="C569">
            <v>21</v>
          </cell>
          <cell r="D569">
            <v>22</v>
          </cell>
        </row>
        <row r="570">
          <cell r="B570" t="str">
            <v>Sep-25</v>
          </cell>
          <cell r="C570">
            <v>19</v>
          </cell>
          <cell r="D570">
            <v>22</v>
          </cell>
        </row>
        <row r="571">
          <cell r="B571" t="str">
            <v>Sep-25</v>
          </cell>
          <cell r="C571">
            <v>20</v>
          </cell>
          <cell r="D571">
            <v>22</v>
          </cell>
        </row>
        <row r="572">
          <cell r="B572" t="str">
            <v>Sep-25</v>
          </cell>
          <cell r="C572">
            <v>22</v>
          </cell>
          <cell r="D572">
            <v>22</v>
          </cell>
        </row>
        <row r="573">
          <cell r="B573" t="str">
            <v>Sep-25</v>
          </cell>
          <cell r="C573">
            <v>22</v>
          </cell>
          <cell r="D573">
            <v>22</v>
          </cell>
        </row>
        <row r="574">
          <cell r="B574" t="str">
            <v>Oct-25</v>
          </cell>
          <cell r="C574">
            <v>20</v>
          </cell>
          <cell r="D574">
            <v>22</v>
          </cell>
        </row>
        <row r="575">
          <cell r="B575" t="str">
            <v>Oct-25</v>
          </cell>
          <cell r="C575">
            <v>20</v>
          </cell>
          <cell r="D575">
            <v>22</v>
          </cell>
        </row>
        <row r="576">
          <cell r="B576" t="str">
            <v>Oct-25</v>
          </cell>
          <cell r="C576">
            <v>19</v>
          </cell>
          <cell r="D576">
            <v>22</v>
          </cell>
        </row>
        <row r="577">
          <cell r="B577" t="str">
            <v>Oct-25</v>
          </cell>
          <cell r="C577">
            <v>19</v>
          </cell>
          <cell r="D577">
            <v>22</v>
          </cell>
        </row>
        <row r="578">
          <cell r="B578" t="str">
            <v>Oct-25</v>
          </cell>
          <cell r="C578">
            <v>22</v>
          </cell>
          <cell r="D578">
            <v>22</v>
          </cell>
        </row>
        <row r="579">
          <cell r="B579" t="str">
            <v>Oct-25</v>
          </cell>
          <cell r="C579">
            <v>20</v>
          </cell>
          <cell r="D579">
            <v>22</v>
          </cell>
        </row>
        <row r="580">
          <cell r="B580" t="str">
            <v>Oct-25</v>
          </cell>
          <cell r="C580">
            <v>20</v>
          </cell>
          <cell r="D580">
            <v>22</v>
          </cell>
        </row>
        <row r="581">
          <cell r="B581" t="str">
            <v>Oct-25</v>
          </cell>
          <cell r="C581">
            <v>19</v>
          </cell>
          <cell r="D581">
            <v>22</v>
          </cell>
        </row>
        <row r="582">
          <cell r="B582" t="str">
            <v>Oct-25</v>
          </cell>
          <cell r="C582">
            <v>19</v>
          </cell>
          <cell r="D582">
            <v>22</v>
          </cell>
        </row>
        <row r="583">
          <cell r="B583" t="str">
            <v>Oct-25</v>
          </cell>
          <cell r="C583">
            <v>22</v>
          </cell>
          <cell r="D583">
            <v>22</v>
          </cell>
        </row>
        <row r="584">
          <cell r="B584" t="str">
            <v>Oct-25</v>
          </cell>
          <cell r="C584">
            <v>22</v>
          </cell>
          <cell r="D584">
            <v>22</v>
          </cell>
        </row>
        <row r="585">
          <cell r="B585" t="str">
            <v>Oct-25</v>
          </cell>
          <cell r="C585">
            <v>19</v>
          </cell>
          <cell r="D585">
            <v>22</v>
          </cell>
        </row>
        <row r="586">
          <cell r="B586" t="str">
            <v>Oct-25</v>
          </cell>
          <cell r="C586">
            <v>20</v>
          </cell>
          <cell r="D586">
            <v>22</v>
          </cell>
        </row>
        <row r="587">
          <cell r="B587" t="str">
            <v>Oct-25</v>
          </cell>
          <cell r="C587">
            <v>19</v>
          </cell>
          <cell r="D587">
            <v>22</v>
          </cell>
        </row>
        <row r="588">
          <cell r="B588" t="str">
            <v>Oct-25</v>
          </cell>
          <cell r="C588">
            <v>21</v>
          </cell>
          <cell r="D588">
            <v>22</v>
          </cell>
        </row>
        <row r="589">
          <cell r="B589" t="str">
            <v>Oct-25</v>
          </cell>
          <cell r="C589">
            <v>20</v>
          </cell>
          <cell r="D589">
            <v>22</v>
          </cell>
        </row>
        <row r="590">
          <cell r="B590" t="str">
            <v>Oct-25</v>
          </cell>
          <cell r="C590">
            <v>19</v>
          </cell>
          <cell r="D590">
            <v>22</v>
          </cell>
        </row>
        <row r="591">
          <cell r="B591" t="str">
            <v>Oct-25</v>
          </cell>
          <cell r="C591">
            <v>21</v>
          </cell>
          <cell r="D591">
            <v>22</v>
          </cell>
        </row>
        <row r="592">
          <cell r="B592" t="str">
            <v>Oct-25</v>
          </cell>
          <cell r="C592">
            <v>22</v>
          </cell>
          <cell r="D592">
            <v>22</v>
          </cell>
        </row>
        <row r="593">
          <cell r="B593" t="str">
            <v>Oct-25</v>
          </cell>
          <cell r="C593">
            <v>20</v>
          </cell>
          <cell r="D593">
            <v>22</v>
          </cell>
        </row>
        <row r="594">
          <cell r="B594" t="str">
            <v>Oct-25</v>
          </cell>
          <cell r="C594">
            <v>22</v>
          </cell>
          <cell r="D594">
            <v>22</v>
          </cell>
        </row>
        <row r="595">
          <cell r="B595" t="str">
            <v>Oct-25</v>
          </cell>
          <cell r="C595">
            <v>22</v>
          </cell>
          <cell r="D595">
            <v>22</v>
          </cell>
        </row>
        <row r="596">
          <cell r="B596" t="str">
            <v>Oct-25</v>
          </cell>
          <cell r="C596">
            <v>20</v>
          </cell>
          <cell r="D596">
            <v>22</v>
          </cell>
        </row>
        <row r="597">
          <cell r="B597" t="str">
            <v>Oct-25</v>
          </cell>
          <cell r="C597">
            <v>22</v>
          </cell>
          <cell r="D597">
            <v>22</v>
          </cell>
        </row>
        <row r="598">
          <cell r="B598" t="str">
            <v>Oct-25</v>
          </cell>
          <cell r="C598">
            <v>21</v>
          </cell>
          <cell r="D598">
            <v>22</v>
          </cell>
        </row>
        <row r="599">
          <cell r="B599" t="str">
            <v>Oct-25</v>
          </cell>
          <cell r="C599">
            <v>20</v>
          </cell>
          <cell r="D599">
            <v>22</v>
          </cell>
        </row>
        <row r="600">
          <cell r="B600" t="str">
            <v>Oct-25</v>
          </cell>
          <cell r="C600">
            <v>21</v>
          </cell>
          <cell r="D600">
            <v>22</v>
          </cell>
        </row>
        <row r="601">
          <cell r="B601" t="str">
            <v>Nov-25</v>
          </cell>
          <cell r="C601">
            <v>20</v>
          </cell>
          <cell r="D601">
            <v>22</v>
          </cell>
        </row>
        <row r="602">
          <cell r="B602" t="str">
            <v>Nov-25</v>
          </cell>
          <cell r="C602">
            <v>20</v>
          </cell>
          <cell r="D602">
            <v>22</v>
          </cell>
        </row>
        <row r="603">
          <cell r="B603" t="str">
            <v>Nov-25</v>
          </cell>
          <cell r="C603">
            <v>22</v>
          </cell>
          <cell r="D603">
            <v>22</v>
          </cell>
        </row>
        <row r="604">
          <cell r="B604" t="str">
            <v>Nov-25</v>
          </cell>
          <cell r="C604">
            <v>19</v>
          </cell>
          <cell r="D604">
            <v>22</v>
          </cell>
        </row>
        <row r="605">
          <cell r="B605" t="str">
            <v>Nov-25</v>
          </cell>
          <cell r="C605">
            <v>21</v>
          </cell>
          <cell r="D605">
            <v>22</v>
          </cell>
        </row>
        <row r="606">
          <cell r="B606" t="str">
            <v>Nov-25</v>
          </cell>
          <cell r="C606">
            <v>21</v>
          </cell>
          <cell r="D606">
            <v>22</v>
          </cell>
        </row>
        <row r="607">
          <cell r="B607" t="str">
            <v>Nov-25</v>
          </cell>
          <cell r="C607">
            <v>20</v>
          </cell>
          <cell r="D607">
            <v>22</v>
          </cell>
        </row>
        <row r="608">
          <cell r="B608" t="str">
            <v>Nov-25</v>
          </cell>
          <cell r="C608">
            <v>20</v>
          </cell>
          <cell r="D608">
            <v>22</v>
          </cell>
        </row>
        <row r="609">
          <cell r="B609" t="str">
            <v>Nov-25</v>
          </cell>
          <cell r="C609">
            <v>20</v>
          </cell>
          <cell r="D609">
            <v>22</v>
          </cell>
        </row>
        <row r="610">
          <cell r="B610" t="str">
            <v>Nov-25</v>
          </cell>
          <cell r="C610">
            <v>20</v>
          </cell>
          <cell r="D610">
            <v>22</v>
          </cell>
        </row>
        <row r="611">
          <cell r="B611" t="str">
            <v>Nov-25</v>
          </cell>
          <cell r="C611">
            <v>20</v>
          </cell>
          <cell r="D611">
            <v>22</v>
          </cell>
        </row>
        <row r="612">
          <cell r="B612" t="str">
            <v>Nov-25</v>
          </cell>
          <cell r="C612">
            <v>20</v>
          </cell>
          <cell r="D612">
            <v>22</v>
          </cell>
        </row>
        <row r="613">
          <cell r="B613" t="str">
            <v>Nov-25</v>
          </cell>
          <cell r="C613">
            <v>20</v>
          </cell>
          <cell r="D613">
            <v>22</v>
          </cell>
        </row>
        <row r="614">
          <cell r="B614" t="str">
            <v>Nov-25</v>
          </cell>
          <cell r="C614">
            <v>20</v>
          </cell>
          <cell r="D614">
            <v>22</v>
          </cell>
        </row>
        <row r="615">
          <cell r="B615" t="str">
            <v>Nov-25</v>
          </cell>
          <cell r="C615">
            <v>19</v>
          </cell>
          <cell r="D615">
            <v>22</v>
          </cell>
        </row>
        <row r="616">
          <cell r="B616" t="str">
            <v>Nov-25</v>
          </cell>
          <cell r="C616">
            <v>19</v>
          </cell>
          <cell r="D616">
            <v>22</v>
          </cell>
        </row>
        <row r="617">
          <cell r="B617" t="str">
            <v>Nov-25</v>
          </cell>
          <cell r="C617">
            <v>19</v>
          </cell>
          <cell r="D617">
            <v>22</v>
          </cell>
        </row>
        <row r="618">
          <cell r="B618" t="str">
            <v>Nov-25</v>
          </cell>
          <cell r="C618">
            <v>20</v>
          </cell>
          <cell r="D618">
            <v>22</v>
          </cell>
        </row>
        <row r="619">
          <cell r="B619" t="str">
            <v>Nov-25</v>
          </cell>
          <cell r="C619">
            <v>20</v>
          </cell>
          <cell r="D619">
            <v>22</v>
          </cell>
        </row>
        <row r="620">
          <cell r="B620" t="str">
            <v>Nov-25</v>
          </cell>
          <cell r="C620">
            <v>22</v>
          </cell>
          <cell r="D620">
            <v>22</v>
          </cell>
        </row>
        <row r="621">
          <cell r="B621" t="str">
            <v>Nov-25</v>
          </cell>
          <cell r="C621">
            <v>19</v>
          </cell>
          <cell r="D621">
            <v>22</v>
          </cell>
        </row>
        <row r="622">
          <cell r="B622" t="str">
            <v>Nov-25</v>
          </cell>
          <cell r="C622">
            <v>19</v>
          </cell>
          <cell r="D622">
            <v>22</v>
          </cell>
        </row>
        <row r="623">
          <cell r="B623" t="str">
            <v>Nov-25</v>
          </cell>
          <cell r="C623">
            <v>19</v>
          </cell>
          <cell r="D623">
            <v>22</v>
          </cell>
        </row>
        <row r="624">
          <cell r="B624" t="str">
            <v>Nov-25</v>
          </cell>
          <cell r="C624">
            <v>20</v>
          </cell>
          <cell r="D624">
            <v>22</v>
          </cell>
        </row>
        <row r="625">
          <cell r="B625" t="str">
            <v>Nov-25</v>
          </cell>
          <cell r="C625">
            <v>20</v>
          </cell>
          <cell r="D625">
            <v>22</v>
          </cell>
        </row>
        <row r="626">
          <cell r="B626" t="str">
            <v>Nov-25</v>
          </cell>
          <cell r="C626">
            <v>19</v>
          </cell>
          <cell r="D626">
            <v>22</v>
          </cell>
        </row>
        <row r="627">
          <cell r="B627" t="str">
            <v>Dec-25</v>
          </cell>
          <cell r="C627">
            <v>17</v>
          </cell>
          <cell r="D627">
            <v>20</v>
          </cell>
        </row>
        <row r="628">
          <cell r="B628" t="str">
            <v>Dec-25</v>
          </cell>
          <cell r="C628">
            <v>18</v>
          </cell>
          <cell r="D628">
            <v>20</v>
          </cell>
        </row>
        <row r="629">
          <cell r="B629" t="str">
            <v>Dec-25</v>
          </cell>
          <cell r="C629">
            <v>18</v>
          </cell>
          <cell r="D629">
            <v>20</v>
          </cell>
        </row>
        <row r="630">
          <cell r="B630" t="str">
            <v>Dec-25</v>
          </cell>
          <cell r="C630">
            <v>19</v>
          </cell>
          <cell r="D630">
            <v>20</v>
          </cell>
        </row>
        <row r="631">
          <cell r="B631" t="str">
            <v>Dec-25</v>
          </cell>
          <cell r="C631">
            <v>20</v>
          </cell>
          <cell r="D631">
            <v>20</v>
          </cell>
        </row>
        <row r="632">
          <cell r="B632" t="str">
            <v>Dec-25</v>
          </cell>
          <cell r="C632">
            <v>20</v>
          </cell>
          <cell r="D632">
            <v>20</v>
          </cell>
        </row>
        <row r="633">
          <cell r="B633" t="str">
            <v>Dec-25</v>
          </cell>
          <cell r="C633">
            <v>19</v>
          </cell>
          <cell r="D633">
            <v>20</v>
          </cell>
        </row>
        <row r="634">
          <cell r="B634" t="str">
            <v>Dec-25</v>
          </cell>
          <cell r="C634">
            <v>18</v>
          </cell>
          <cell r="D634">
            <v>20</v>
          </cell>
        </row>
        <row r="635">
          <cell r="B635" t="str">
            <v>Dec-25</v>
          </cell>
          <cell r="C635">
            <v>19</v>
          </cell>
          <cell r="D635">
            <v>20</v>
          </cell>
        </row>
        <row r="636">
          <cell r="B636" t="str">
            <v>Dec-25</v>
          </cell>
          <cell r="C636">
            <v>19</v>
          </cell>
          <cell r="D636">
            <v>20</v>
          </cell>
        </row>
        <row r="637">
          <cell r="B637" t="str">
            <v>Dec-25</v>
          </cell>
          <cell r="C637">
            <v>20</v>
          </cell>
          <cell r="D637">
            <v>20</v>
          </cell>
        </row>
        <row r="638">
          <cell r="B638" t="str">
            <v>Dec-25</v>
          </cell>
          <cell r="C638">
            <v>18</v>
          </cell>
          <cell r="D638">
            <v>20</v>
          </cell>
        </row>
        <row r="639">
          <cell r="B639" t="str">
            <v>Dec-25</v>
          </cell>
          <cell r="C639">
            <v>17</v>
          </cell>
          <cell r="D639">
            <v>20</v>
          </cell>
        </row>
        <row r="640">
          <cell r="B640" t="str">
            <v>Dec-25</v>
          </cell>
          <cell r="C640">
            <v>18</v>
          </cell>
          <cell r="D640">
            <v>20</v>
          </cell>
        </row>
        <row r="641">
          <cell r="B641" t="str">
            <v>Dec-25</v>
          </cell>
          <cell r="C641">
            <v>20</v>
          </cell>
          <cell r="D641">
            <v>20</v>
          </cell>
        </row>
        <row r="642">
          <cell r="B642" t="str">
            <v>Dec-25</v>
          </cell>
          <cell r="C642">
            <v>18</v>
          </cell>
          <cell r="D642">
            <v>20</v>
          </cell>
        </row>
        <row r="643">
          <cell r="B643" t="str">
            <v>Dec-25</v>
          </cell>
          <cell r="C643">
            <v>20</v>
          </cell>
          <cell r="D643">
            <v>20</v>
          </cell>
        </row>
        <row r="644">
          <cell r="B644" t="str">
            <v>Dec-25</v>
          </cell>
          <cell r="C644">
            <v>20</v>
          </cell>
          <cell r="D644">
            <v>20</v>
          </cell>
        </row>
        <row r="645">
          <cell r="B645" t="str">
            <v>Dec-25</v>
          </cell>
          <cell r="C645">
            <v>19</v>
          </cell>
          <cell r="D645">
            <v>20</v>
          </cell>
        </row>
        <row r="646">
          <cell r="B646" t="str">
            <v>Dec-25</v>
          </cell>
          <cell r="C646">
            <v>19</v>
          </cell>
          <cell r="D646">
            <v>20</v>
          </cell>
        </row>
        <row r="647">
          <cell r="B647" t="str">
            <v>Dec-25</v>
          </cell>
          <cell r="C647">
            <v>18</v>
          </cell>
          <cell r="D647">
            <v>20</v>
          </cell>
        </row>
        <row r="648">
          <cell r="B648" t="str">
            <v>Dec-25</v>
          </cell>
          <cell r="C648">
            <v>19</v>
          </cell>
          <cell r="D648">
            <v>20</v>
          </cell>
        </row>
        <row r="649">
          <cell r="B649" t="str">
            <v>Dec-25</v>
          </cell>
          <cell r="C649">
            <v>18</v>
          </cell>
          <cell r="D649">
            <v>20</v>
          </cell>
        </row>
        <row r="650">
          <cell r="B650" t="str">
            <v>Dec-25</v>
          </cell>
          <cell r="C650">
            <v>19</v>
          </cell>
          <cell r="D650">
            <v>20</v>
          </cell>
        </row>
        <row r="651">
          <cell r="B651" t="str">
            <v>Dec-25</v>
          </cell>
          <cell r="C651">
            <v>19</v>
          </cell>
          <cell r="D651">
            <v>20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18" customWidth="1"/>
    <col min="3" max="3" width="12" customWidth="1"/>
    <col min="4" max="4" width="18" customWidth="1"/>
    <col min="5" max="5" width="14" customWidth="1"/>
    <col min="6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D4" t="s">
        <v>20</v>
      </c>
      <c r="E4" t="s">
        <v>21</v>
      </c>
    </row>
    <row r="5" spans="1:6" x14ac:dyDescent="0.3">
      <c r="A5" t="s">
        <v>22</v>
      </c>
      <c r="B5" t="s">
        <v>23</v>
      </c>
      <c r="D5" t="s">
        <v>24</v>
      </c>
    </row>
    <row r="6" spans="1:6" x14ac:dyDescent="0.3">
      <c r="A6" t="s">
        <v>25</v>
      </c>
      <c r="B6" t="s">
        <v>26</v>
      </c>
    </row>
    <row r="7" spans="1:6" x14ac:dyDescent="0.3">
      <c r="A7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4" customWidth="1"/>
    <col min="3" max="3" width="9" customWidth="1"/>
    <col min="4" max="4" width="12" customWidth="1"/>
    <col min="5" max="5" width="16" customWidth="1"/>
    <col min="6" max="6" width="11" customWidth="1"/>
    <col min="7" max="9" width="12" customWidth="1"/>
    <col min="10" max="10" width="10" customWidth="1"/>
    <col min="11" max="11" width="13" customWidth="1"/>
    <col min="12" max="12" width="22" customWidth="1"/>
    <col min="13" max="13" width="13" customWidth="1"/>
  </cols>
  <sheetData>
    <row r="1" spans="1:13" ht="27.6" x14ac:dyDescent="0.3">
      <c r="A1" s="2" t="s">
        <v>28</v>
      </c>
      <c r="B1" s="2" t="s">
        <v>29</v>
      </c>
      <c r="C1" s="2" t="s">
        <v>5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2</v>
      </c>
      <c r="K1" s="2" t="s">
        <v>36</v>
      </c>
      <c r="L1" s="2" t="s">
        <v>37</v>
      </c>
      <c r="M1" s="2" t="s">
        <v>38</v>
      </c>
    </row>
    <row r="2" spans="1:13" x14ac:dyDescent="0.3">
      <c r="A2" s="3" t="s">
        <v>39</v>
      </c>
      <c r="B2" s="3" t="s">
        <v>40</v>
      </c>
      <c r="C2" s="3" t="s">
        <v>11</v>
      </c>
      <c r="D2" s="3" t="s">
        <v>6</v>
      </c>
      <c r="E2" s="3" t="s">
        <v>19</v>
      </c>
      <c r="F2" s="3" t="s">
        <v>41</v>
      </c>
      <c r="G2" s="4">
        <v>33075</v>
      </c>
      <c r="H2" s="4">
        <v>43523</v>
      </c>
      <c r="I2" s="4"/>
      <c r="J2" s="3" t="s">
        <v>8</v>
      </c>
      <c r="K2" s="5">
        <v>48000</v>
      </c>
      <c r="L2" s="3" t="s">
        <v>42</v>
      </c>
      <c r="M2" s="3" t="s">
        <v>43</v>
      </c>
    </row>
    <row r="3" spans="1:13" x14ac:dyDescent="0.3">
      <c r="A3" s="3" t="s">
        <v>44</v>
      </c>
      <c r="B3" s="3" t="s">
        <v>45</v>
      </c>
      <c r="C3" s="3" t="s">
        <v>17</v>
      </c>
      <c r="D3" s="3" t="s">
        <v>12</v>
      </c>
      <c r="E3" s="3" t="s">
        <v>26</v>
      </c>
      <c r="F3" s="3" t="s">
        <v>46</v>
      </c>
      <c r="G3" s="4">
        <v>33241</v>
      </c>
      <c r="H3" s="4">
        <v>44745</v>
      </c>
      <c r="I3" s="4"/>
      <c r="J3" s="3" t="s">
        <v>8</v>
      </c>
      <c r="K3" s="5">
        <v>60000</v>
      </c>
      <c r="L3" s="3" t="s">
        <v>47</v>
      </c>
      <c r="M3" s="3" t="s">
        <v>48</v>
      </c>
    </row>
    <row r="4" spans="1:13" x14ac:dyDescent="0.3">
      <c r="A4" s="3" t="s">
        <v>49</v>
      </c>
      <c r="B4" s="3" t="s">
        <v>50</v>
      </c>
      <c r="C4" s="3" t="s">
        <v>11</v>
      </c>
      <c r="D4" s="3" t="s">
        <v>18</v>
      </c>
      <c r="E4" s="3" t="s">
        <v>7</v>
      </c>
      <c r="F4" s="3" t="s">
        <v>51</v>
      </c>
      <c r="G4" s="4">
        <v>35469</v>
      </c>
      <c r="H4" s="4">
        <v>45615</v>
      </c>
      <c r="I4" s="4"/>
      <c r="J4" s="3" t="s">
        <v>8</v>
      </c>
      <c r="K4" s="5">
        <v>65000</v>
      </c>
      <c r="L4" s="3" t="s">
        <v>52</v>
      </c>
      <c r="M4" s="3" t="s">
        <v>53</v>
      </c>
    </row>
    <row r="5" spans="1:13" x14ac:dyDescent="0.3">
      <c r="A5" s="3" t="s">
        <v>54</v>
      </c>
      <c r="B5" s="3" t="s">
        <v>55</v>
      </c>
      <c r="C5" s="3" t="s">
        <v>17</v>
      </c>
      <c r="D5" s="3" t="s">
        <v>22</v>
      </c>
      <c r="E5" s="3" t="s">
        <v>7</v>
      </c>
      <c r="F5" s="3" t="s">
        <v>56</v>
      </c>
      <c r="G5" s="4">
        <v>33256</v>
      </c>
      <c r="H5" s="4">
        <v>43965</v>
      </c>
      <c r="I5" s="4">
        <v>45575</v>
      </c>
      <c r="J5" s="3" t="s">
        <v>14</v>
      </c>
      <c r="K5" s="5">
        <v>60000</v>
      </c>
      <c r="L5" s="3" t="s">
        <v>57</v>
      </c>
      <c r="M5" s="3" t="s">
        <v>58</v>
      </c>
    </row>
    <row r="6" spans="1:13" x14ac:dyDescent="0.3">
      <c r="A6" s="3" t="s">
        <v>59</v>
      </c>
      <c r="B6" s="3" t="s">
        <v>60</v>
      </c>
      <c r="C6" s="3" t="s">
        <v>11</v>
      </c>
      <c r="D6" s="3" t="s">
        <v>25</v>
      </c>
      <c r="E6" s="3" t="s">
        <v>7</v>
      </c>
      <c r="F6" s="3" t="s">
        <v>61</v>
      </c>
      <c r="G6" s="4">
        <v>35724</v>
      </c>
      <c r="H6" s="4">
        <v>43986</v>
      </c>
      <c r="I6" s="4"/>
      <c r="J6" s="3" t="s">
        <v>8</v>
      </c>
      <c r="K6" s="5">
        <v>35000</v>
      </c>
      <c r="L6" s="3" t="s">
        <v>62</v>
      </c>
      <c r="M6" s="3" t="s">
        <v>63</v>
      </c>
    </row>
    <row r="7" spans="1:13" x14ac:dyDescent="0.3">
      <c r="A7" s="3" t="s">
        <v>64</v>
      </c>
      <c r="B7" s="3" t="s">
        <v>65</v>
      </c>
      <c r="C7" s="3" t="s">
        <v>17</v>
      </c>
      <c r="D7" s="3" t="s">
        <v>27</v>
      </c>
      <c r="E7" s="3" t="s">
        <v>26</v>
      </c>
      <c r="F7" s="3" t="s">
        <v>66</v>
      </c>
      <c r="G7" s="4">
        <v>33472</v>
      </c>
      <c r="H7" s="4">
        <v>45132</v>
      </c>
      <c r="I7" s="4"/>
      <c r="J7" s="3" t="s">
        <v>8</v>
      </c>
      <c r="K7" s="5">
        <v>65000</v>
      </c>
      <c r="L7" s="3" t="s">
        <v>67</v>
      </c>
      <c r="M7" s="3" t="s">
        <v>68</v>
      </c>
    </row>
    <row r="8" spans="1:13" x14ac:dyDescent="0.3">
      <c r="A8" s="3" t="s">
        <v>69</v>
      </c>
      <c r="B8" s="3" t="s">
        <v>70</v>
      </c>
      <c r="C8" s="3" t="s">
        <v>11</v>
      </c>
      <c r="D8" s="3" t="s">
        <v>6</v>
      </c>
      <c r="E8" s="3" t="s">
        <v>19</v>
      </c>
      <c r="F8" s="3" t="s">
        <v>71</v>
      </c>
      <c r="G8" s="4">
        <v>33720</v>
      </c>
      <c r="H8" s="4">
        <v>44190</v>
      </c>
      <c r="I8" s="4"/>
      <c r="J8" s="3" t="s">
        <v>8</v>
      </c>
      <c r="K8" s="5">
        <v>65000</v>
      </c>
      <c r="L8" s="3" t="s">
        <v>72</v>
      </c>
      <c r="M8" s="3" t="s">
        <v>73</v>
      </c>
    </row>
    <row r="9" spans="1:13" x14ac:dyDescent="0.3">
      <c r="A9" s="3" t="s">
        <v>74</v>
      </c>
      <c r="B9" s="3" t="s">
        <v>75</v>
      </c>
      <c r="C9" s="3" t="s">
        <v>17</v>
      </c>
      <c r="D9" s="3" t="s">
        <v>12</v>
      </c>
      <c r="E9" s="3" t="s">
        <v>26</v>
      </c>
      <c r="F9" s="3" t="s">
        <v>76</v>
      </c>
      <c r="G9" s="4">
        <v>34874</v>
      </c>
      <c r="H9" s="4">
        <v>44701</v>
      </c>
      <c r="I9" s="4"/>
      <c r="J9" s="3" t="s">
        <v>8</v>
      </c>
      <c r="K9" s="5">
        <v>35000</v>
      </c>
      <c r="L9" s="3" t="s">
        <v>77</v>
      </c>
      <c r="M9" s="3" t="s">
        <v>78</v>
      </c>
    </row>
    <row r="10" spans="1:13" x14ac:dyDescent="0.3">
      <c r="A10" s="3" t="s">
        <v>79</v>
      </c>
      <c r="B10" s="3" t="s">
        <v>80</v>
      </c>
      <c r="C10" s="3" t="s">
        <v>11</v>
      </c>
      <c r="D10" s="3" t="s">
        <v>18</v>
      </c>
      <c r="E10" s="3" t="s">
        <v>23</v>
      </c>
      <c r="F10" s="3" t="s">
        <v>41</v>
      </c>
      <c r="G10" s="4">
        <v>33029</v>
      </c>
      <c r="H10" s="4">
        <v>44744</v>
      </c>
      <c r="I10" s="4"/>
      <c r="J10" s="3" t="s">
        <v>8</v>
      </c>
      <c r="K10" s="5">
        <v>35000</v>
      </c>
      <c r="L10" s="3" t="s">
        <v>81</v>
      </c>
      <c r="M10" s="3" t="s">
        <v>82</v>
      </c>
    </row>
    <row r="11" spans="1:13" x14ac:dyDescent="0.3">
      <c r="A11" s="3" t="s">
        <v>83</v>
      </c>
      <c r="B11" s="3" t="s">
        <v>84</v>
      </c>
      <c r="C11" s="3" t="s">
        <v>17</v>
      </c>
      <c r="D11" s="3" t="s">
        <v>22</v>
      </c>
      <c r="E11" s="3" t="s">
        <v>26</v>
      </c>
      <c r="F11" s="3" t="s">
        <v>46</v>
      </c>
      <c r="G11" s="4">
        <v>36688</v>
      </c>
      <c r="H11" s="4">
        <v>45463</v>
      </c>
      <c r="I11" s="4"/>
      <c r="J11" s="3" t="s">
        <v>8</v>
      </c>
      <c r="K11" s="5">
        <v>56000</v>
      </c>
      <c r="L11" s="3" t="s">
        <v>85</v>
      </c>
      <c r="M11" s="3" t="s">
        <v>86</v>
      </c>
    </row>
    <row r="12" spans="1:13" x14ac:dyDescent="0.3">
      <c r="A12" s="3" t="s">
        <v>87</v>
      </c>
      <c r="B12" s="3" t="s">
        <v>88</v>
      </c>
      <c r="C12" s="3" t="s">
        <v>11</v>
      </c>
      <c r="D12" s="3" t="s">
        <v>25</v>
      </c>
      <c r="E12" s="3" t="s">
        <v>7</v>
      </c>
      <c r="F12" s="3" t="s">
        <v>51</v>
      </c>
      <c r="G12" s="4">
        <v>33839</v>
      </c>
      <c r="H12" s="4">
        <v>45324</v>
      </c>
      <c r="I12" s="4"/>
      <c r="J12" s="3" t="s">
        <v>8</v>
      </c>
      <c r="K12" s="5">
        <v>45000</v>
      </c>
      <c r="L12" s="3" t="s">
        <v>89</v>
      </c>
      <c r="M12" s="3" t="s">
        <v>90</v>
      </c>
    </row>
    <row r="13" spans="1:13" x14ac:dyDescent="0.3">
      <c r="A13" s="3" t="s">
        <v>91</v>
      </c>
      <c r="B13" s="3" t="s">
        <v>92</v>
      </c>
      <c r="C13" s="3" t="s">
        <v>17</v>
      </c>
      <c r="D13" s="3" t="s">
        <v>27</v>
      </c>
      <c r="E13" s="3" t="s">
        <v>19</v>
      </c>
      <c r="F13" s="3" t="s">
        <v>56</v>
      </c>
      <c r="G13" s="4">
        <v>36363</v>
      </c>
      <c r="H13" s="4">
        <v>44211</v>
      </c>
      <c r="I13" s="4"/>
      <c r="J13" s="3" t="s">
        <v>8</v>
      </c>
      <c r="K13" s="5">
        <v>65000</v>
      </c>
      <c r="L13" s="3" t="s">
        <v>93</v>
      </c>
      <c r="M13" s="3" t="s">
        <v>94</v>
      </c>
    </row>
    <row r="14" spans="1:13" x14ac:dyDescent="0.3">
      <c r="A14" s="3" t="s">
        <v>95</v>
      </c>
      <c r="B14" s="3" t="s">
        <v>96</v>
      </c>
      <c r="C14" s="3" t="s">
        <v>11</v>
      </c>
      <c r="D14" s="3" t="s">
        <v>6</v>
      </c>
      <c r="E14" s="3" t="s">
        <v>23</v>
      </c>
      <c r="F14" s="3" t="s">
        <v>61</v>
      </c>
      <c r="G14" s="4">
        <v>32258</v>
      </c>
      <c r="H14" s="4">
        <v>44279</v>
      </c>
      <c r="I14" s="4"/>
      <c r="J14" s="3" t="s">
        <v>8</v>
      </c>
      <c r="K14" s="5">
        <v>52000</v>
      </c>
      <c r="L14" s="3" t="s">
        <v>97</v>
      </c>
      <c r="M14" s="3" t="s">
        <v>98</v>
      </c>
    </row>
    <row r="15" spans="1:13" x14ac:dyDescent="0.3">
      <c r="A15" s="3" t="s">
        <v>99</v>
      </c>
      <c r="B15" s="3" t="s">
        <v>100</v>
      </c>
      <c r="C15" s="3" t="s">
        <v>17</v>
      </c>
      <c r="D15" s="3" t="s">
        <v>12</v>
      </c>
      <c r="E15" s="3" t="s">
        <v>7</v>
      </c>
      <c r="F15" s="3" t="s">
        <v>66</v>
      </c>
      <c r="G15" s="4">
        <v>33098</v>
      </c>
      <c r="H15" s="4">
        <v>45051</v>
      </c>
      <c r="I15" s="4"/>
      <c r="J15" s="3" t="s">
        <v>8</v>
      </c>
      <c r="K15" s="5">
        <v>60000</v>
      </c>
      <c r="L15" s="3" t="s">
        <v>101</v>
      </c>
      <c r="M15" s="3" t="s">
        <v>102</v>
      </c>
    </row>
    <row r="16" spans="1:13" x14ac:dyDescent="0.3">
      <c r="A16" s="3" t="s">
        <v>103</v>
      </c>
      <c r="B16" s="3" t="s">
        <v>104</v>
      </c>
      <c r="C16" s="3" t="s">
        <v>11</v>
      </c>
      <c r="D16" s="3" t="s">
        <v>18</v>
      </c>
      <c r="E16" s="3" t="s">
        <v>23</v>
      </c>
      <c r="F16" s="3" t="s">
        <v>71</v>
      </c>
      <c r="G16" s="4">
        <v>34286</v>
      </c>
      <c r="H16" s="4">
        <v>43893</v>
      </c>
      <c r="I16" s="4">
        <v>45604</v>
      </c>
      <c r="J16" s="3" t="s">
        <v>14</v>
      </c>
      <c r="K16" s="5">
        <v>32000</v>
      </c>
      <c r="L16" s="3" t="s">
        <v>105</v>
      </c>
      <c r="M16" s="3" t="s">
        <v>106</v>
      </c>
    </row>
    <row r="17" spans="1:13" x14ac:dyDescent="0.3">
      <c r="A17" s="3" t="s">
        <v>107</v>
      </c>
      <c r="B17" s="3" t="s">
        <v>108</v>
      </c>
      <c r="C17" s="3" t="s">
        <v>17</v>
      </c>
      <c r="D17" s="3" t="s">
        <v>22</v>
      </c>
      <c r="E17" s="3" t="s">
        <v>26</v>
      </c>
      <c r="F17" s="3" t="s">
        <v>76</v>
      </c>
      <c r="G17" s="4">
        <v>33003</v>
      </c>
      <c r="H17" s="4">
        <v>43538</v>
      </c>
      <c r="I17" s="4"/>
      <c r="J17" s="3" t="s">
        <v>8</v>
      </c>
      <c r="K17" s="5">
        <v>65000</v>
      </c>
      <c r="L17" s="3" t="s">
        <v>109</v>
      </c>
      <c r="M17" s="3" t="s">
        <v>110</v>
      </c>
    </row>
    <row r="18" spans="1:13" x14ac:dyDescent="0.3">
      <c r="A18" s="3" t="s">
        <v>111</v>
      </c>
      <c r="B18" s="3" t="s">
        <v>112</v>
      </c>
      <c r="C18" s="3" t="s">
        <v>11</v>
      </c>
      <c r="D18" s="3" t="s">
        <v>25</v>
      </c>
      <c r="E18" s="3" t="s">
        <v>13</v>
      </c>
      <c r="F18" s="3" t="s">
        <v>41</v>
      </c>
      <c r="G18" s="4">
        <v>36423</v>
      </c>
      <c r="H18" s="4">
        <v>45620</v>
      </c>
      <c r="I18" s="4">
        <v>45851</v>
      </c>
      <c r="J18" s="3" t="s">
        <v>14</v>
      </c>
      <c r="K18" s="5">
        <v>52000</v>
      </c>
      <c r="L18" s="3" t="s">
        <v>113</v>
      </c>
      <c r="M18" s="3" t="s">
        <v>114</v>
      </c>
    </row>
    <row r="19" spans="1:13" x14ac:dyDescent="0.3">
      <c r="A19" s="3" t="s">
        <v>115</v>
      </c>
      <c r="B19" s="3" t="s">
        <v>116</v>
      </c>
      <c r="C19" s="3" t="s">
        <v>17</v>
      </c>
      <c r="D19" s="3" t="s">
        <v>27</v>
      </c>
      <c r="E19" s="3" t="s">
        <v>23</v>
      </c>
      <c r="F19" s="3" t="s">
        <v>46</v>
      </c>
      <c r="G19" s="4">
        <v>35978</v>
      </c>
      <c r="H19" s="4">
        <v>43868</v>
      </c>
      <c r="I19" s="4"/>
      <c r="J19" s="3" t="s">
        <v>8</v>
      </c>
      <c r="K19" s="5">
        <v>35000</v>
      </c>
      <c r="L19" s="3" t="s">
        <v>117</v>
      </c>
      <c r="M19" s="3" t="s">
        <v>118</v>
      </c>
    </row>
    <row r="20" spans="1:13" x14ac:dyDescent="0.3">
      <c r="A20" s="3" t="s">
        <v>119</v>
      </c>
      <c r="B20" s="3" t="s">
        <v>120</v>
      </c>
      <c r="C20" s="3" t="s">
        <v>11</v>
      </c>
      <c r="D20" s="3" t="s">
        <v>6</v>
      </c>
      <c r="E20" s="3" t="s">
        <v>26</v>
      </c>
      <c r="F20" s="3" t="s">
        <v>51</v>
      </c>
      <c r="G20" s="4">
        <v>32174</v>
      </c>
      <c r="H20" s="4">
        <v>45003</v>
      </c>
      <c r="I20" s="4">
        <v>45931</v>
      </c>
      <c r="J20" s="3" t="s">
        <v>14</v>
      </c>
      <c r="K20" s="5">
        <v>35000</v>
      </c>
      <c r="L20" s="3" t="s">
        <v>121</v>
      </c>
      <c r="M20" s="3" t="s">
        <v>122</v>
      </c>
    </row>
    <row r="21" spans="1:13" x14ac:dyDescent="0.3">
      <c r="A21" s="3" t="s">
        <v>123</v>
      </c>
      <c r="B21" s="3" t="s">
        <v>124</v>
      </c>
      <c r="C21" s="3" t="s">
        <v>17</v>
      </c>
      <c r="D21" s="3" t="s">
        <v>12</v>
      </c>
      <c r="E21" s="3" t="s">
        <v>26</v>
      </c>
      <c r="F21" s="3" t="s">
        <v>56</v>
      </c>
      <c r="G21" s="4">
        <v>34414</v>
      </c>
      <c r="H21" s="4">
        <v>44367</v>
      </c>
      <c r="I21" s="4"/>
      <c r="J21" s="3" t="s">
        <v>8</v>
      </c>
      <c r="K21" s="5">
        <v>35000</v>
      </c>
      <c r="L21" s="3" t="s">
        <v>125</v>
      </c>
      <c r="M21" s="3" t="s">
        <v>126</v>
      </c>
    </row>
    <row r="22" spans="1:13" x14ac:dyDescent="0.3">
      <c r="A22" s="3" t="s">
        <v>127</v>
      </c>
      <c r="B22" s="3" t="s">
        <v>128</v>
      </c>
      <c r="C22" s="3" t="s">
        <v>11</v>
      </c>
      <c r="D22" s="3" t="s">
        <v>18</v>
      </c>
      <c r="E22" s="3" t="s">
        <v>23</v>
      </c>
      <c r="F22" s="3" t="s">
        <v>61</v>
      </c>
      <c r="G22" s="4">
        <v>34927</v>
      </c>
      <c r="H22" s="4">
        <v>44232</v>
      </c>
      <c r="I22" s="4">
        <v>46000</v>
      </c>
      <c r="J22" s="3" t="s">
        <v>14</v>
      </c>
      <c r="K22" s="5">
        <v>56000</v>
      </c>
      <c r="L22" s="3" t="s">
        <v>129</v>
      </c>
      <c r="M22" s="3" t="s">
        <v>130</v>
      </c>
    </row>
    <row r="23" spans="1:13" x14ac:dyDescent="0.3">
      <c r="A23" s="3" t="s">
        <v>131</v>
      </c>
      <c r="B23" s="3" t="s">
        <v>132</v>
      </c>
      <c r="C23" s="3" t="s">
        <v>17</v>
      </c>
      <c r="D23" s="3" t="s">
        <v>22</v>
      </c>
      <c r="E23" s="3" t="s">
        <v>26</v>
      </c>
      <c r="F23" s="3" t="s">
        <v>66</v>
      </c>
      <c r="G23" s="4">
        <v>32250</v>
      </c>
      <c r="H23" s="4">
        <v>44278</v>
      </c>
      <c r="I23" s="4"/>
      <c r="J23" s="3" t="s">
        <v>8</v>
      </c>
      <c r="K23" s="5">
        <v>32000</v>
      </c>
      <c r="L23" s="3" t="s">
        <v>133</v>
      </c>
      <c r="M23" s="3" t="s">
        <v>134</v>
      </c>
    </row>
    <row r="24" spans="1:13" x14ac:dyDescent="0.3">
      <c r="A24" s="3" t="s">
        <v>135</v>
      </c>
      <c r="B24" s="3" t="s">
        <v>136</v>
      </c>
      <c r="C24" s="3" t="s">
        <v>11</v>
      </c>
      <c r="D24" s="3" t="s">
        <v>25</v>
      </c>
      <c r="E24" s="3" t="s">
        <v>19</v>
      </c>
      <c r="F24" s="3" t="s">
        <v>71</v>
      </c>
      <c r="G24" s="4">
        <v>35849</v>
      </c>
      <c r="H24" s="4">
        <v>44451</v>
      </c>
      <c r="I24" s="4"/>
      <c r="J24" s="3" t="s">
        <v>8</v>
      </c>
      <c r="K24" s="5">
        <v>48000</v>
      </c>
      <c r="L24" s="3" t="s">
        <v>137</v>
      </c>
      <c r="M24" s="3" t="s">
        <v>138</v>
      </c>
    </row>
    <row r="25" spans="1:13" x14ac:dyDescent="0.3">
      <c r="A25" s="3" t="s">
        <v>139</v>
      </c>
      <c r="B25" s="3" t="s">
        <v>140</v>
      </c>
      <c r="C25" s="3" t="s">
        <v>17</v>
      </c>
      <c r="D25" s="3" t="s">
        <v>27</v>
      </c>
      <c r="E25" s="3" t="s">
        <v>26</v>
      </c>
      <c r="F25" s="3" t="s">
        <v>76</v>
      </c>
      <c r="G25" s="4">
        <v>35319</v>
      </c>
      <c r="H25" s="4">
        <v>45402</v>
      </c>
      <c r="I25" s="4"/>
      <c r="J25" s="3" t="s">
        <v>8</v>
      </c>
      <c r="K25" s="5">
        <v>42000</v>
      </c>
      <c r="L25" s="3" t="s">
        <v>141</v>
      </c>
      <c r="M25" s="3" t="s">
        <v>142</v>
      </c>
    </row>
    <row r="26" spans="1:13" x14ac:dyDescent="0.3">
      <c r="A26" s="3" t="s">
        <v>143</v>
      </c>
      <c r="B26" s="3" t="s">
        <v>144</v>
      </c>
      <c r="C26" s="3" t="s">
        <v>11</v>
      </c>
      <c r="D26" s="3" t="s">
        <v>6</v>
      </c>
      <c r="E26" s="3" t="s">
        <v>23</v>
      </c>
      <c r="F26" s="3" t="s">
        <v>41</v>
      </c>
      <c r="G26" s="4">
        <v>36257</v>
      </c>
      <c r="H26" s="4">
        <v>45150</v>
      </c>
      <c r="I26" s="4"/>
      <c r="J26" s="3" t="s">
        <v>8</v>
      </c>
      <c r="K26" s="5">
        <v>32000</v>
      </c>
      <c r="L26" s="3" t="s">
        <v>145</v>
      </c>
      <c r="M26" s="3" t="s">
        <v>146</v>
      </c>
    </row>
    <row r="27" spans="1:13" x14ac:dyDescent="0.3">
      <c r="A27" s="3" t="s">
        <v>147</v>
      </c>
      <c r="B27" s="3" t="s">
        <v>148</v>
      </c>
      <c r="C27" s="3" t="s">
        <v>17</v>
      </c>
      <c r="D27" s="3" t="s">
        <v>12</v>
      </c>
      <c r="E27" s="3" t="s">
        <v>23</v>
      </c>
      <c r="F27" s="3" t="s">
        <v>46</v>
      </c>
      <c r="G27" s="4">
        <v>33717</v>
      </c>
      <c r="H27" s="4">
        <v>45092</v>
      </c>
      <c r="I27" s="4"/>
      <c r="J27" s="3" t="s">
        <v>8</v>
      </c>
      <c r="K27" s="5">
        <v>48000</v>
      </c>
      <c r="L27" s="3" t="s">
        <v>149</v>
      </c>
      <c r="M27" s="3" t="s">
        <v>150</v>
      </c>
    </row>
    <row r="28" spans="1:13" x14ac:dyDescent="0.3">
      <c r="A28" s="3" t="s">
        <v>151</v>
      </c>
      <c r="B28" s="3" t="s">
        <v>152</v>
      </c>
      <c r="C28" s="3" t="s">
        <v>11</v>
      </c>
      <c r="D28" s="3" t="s">
        <v>18</v>
      </c>
      <c r="E28" s="3" t="s">
        <v>7</v>
      </c>
      <c r="F28" s="3" t="s">
        <v>51</v>
      </c>
      <c r="G28" s="4">
        <v>33277</v>
      </c>
      <c r="H28" s="4">
        <v>44662</v>
      </c>
      <c r="I28" s="4"/>
      <c r="J28" s="3" t="s">
        <v>8</v>
      </c>
      <c r="K28" s="5">
        <v>65000</v>
      </c>
      <c r="L28" s="3" t="s">
        <v>153</v>
      </c>
      <c r="M28" s="3" t="s">
        <v>154</v>
      </c>
    </row>
    <row r="29" spans="1:13" x14ac:dyDescent="0.3">
      <c r="A29" s="3" t="s">
        <v>155</v>
      </c>
      <c r="B29" s="3" t="s">
        <v>156</v>
      </c>
      <c r="C29" s="3" t="s">
        <v>17</v>
      </c>
      <c r="D29" s="3" t="s">
        <v>22</v>
      </c>
      <c r="E29" s="3" t="s">
        <v>23</v>
      </c>
      <c r="F29" s="3" t="s">
        <v>56</v>
      </c>
      <c r="G29" s="4">
        <v>35972</v>
      </c>
      <c r="H29" s="4">
        <v>45349</v>
      </c>
      <c r="I29" s="4"/>
      <c r="J29" s="3" t="s">
        <v>8</v>
      </c>
      <c r="K29" s="5">
        <v>52000</v>
      </c>
      <c r="L29" s="3" t="s">
        <v>157</v>
      </c>
      <c r="M29" s="3" t="s">
        <v>158</v>
      </c>
    </row>
    <row r="30" spans="1:13" x14ac:dyDescent="0.3">
      <c r="A30" s="3" t="s">
        <v>159</v>
      </c>
      <c r="B30" s="3" t="s">
        <v>160</v>
      </c>
      <c r="C30" s="3" t="s">
        <v>11</v>
      </c>
      <c r="D30" s="3" t="s">
        <v>25</v>
      </c>
      <c r="E30" s="3" t="s">
        <v>23</v>
      </c>
      <c r="F30" s="3" t="s">
        <v>61</v>
      </c>
      <c r="G30" s="4">
        <v>33080</v>
      </c>
      <c r="H30" s="4">
        <v>45446</v>
      </c>
      <c r="I30" s="4"/>
      <c r="J30" s="3" t="s">
        <v>8</v>
      </c>
      <c r="K30" s="5">
        <v>52000</v>
      </c>
      <c r="L30" s="3" t="s">
        <v>161</v>
      </c>
      <c r="M30" s="3" t="s">
        <v>162</v>
      </c>
    </row>
    <row r="31" spans="1:13" x14ac:dyDescent="0.3">
      <c r="A31" s="3" t="s">
        <v>163</v>
      </c>
      <c r="B31" s="3" t="s">
        <v>164</v>
      </c>
      <c r="C31" s="3" t="s">
        <v>17</v>
      </c>
      <c r="D31" s="3" t="s">
        <v>27</v>
      </c>
      <c r="E31" s="3" t="s">
        <v>23</v>
      </c>
      <c r="F31" s="3" t="s">
        <v>66</v>
      </c>
      <c r="G31" s="4">
        <v>36215</v>
      </c>
      <c r="H31" s="4">
        <v>43895</v>
      </c>
      <c r="I31" s="4">
        <v>45966</v>
      </c>
      <c r="J31" s="3" t="s">
        <v>14</v>
      </c>
      <c r="K31" s="5">
        <v>65000</v>
      </c>
      <c r="L31" s="3" t="s">
        <v>165</v>
      </c>
      <c r="M31" s="3" t="s">
        <v>166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Lists!$A$2:$A$7</xm:f>
          </x14:formula1>
          <x14:formula2>
            <xm:f>0</xm:f>
          </x14:formula2>
          <xm:sqref>D2:D31</xm:sqref>
        </x14:dataValidation>
        <x14:dataValidation type="list" allowBlank="1" xr:uid="{00000000-0002-0000-0100-000001000000}">
          <x14:formula1>
            <xm:f>Lists!$C$2:$C$3</xm:f>
          </x14:formula1>
          <x14:formula2>
            <xm:f>0</xm:f>
          </x14:formula2>
          <xm:sqref>J2:J31</xm:sqref>
        </x14:dataValidation>
        <x14:dataValidation type="list" allowBlank="1" xr:uid="{00000000-0002-0000-0100-000002000000}">
          <x14:formula1>
            <xm:f>Lists!$F$2:$F$3</xm:f>
          </x14:formula1>
          <x14:formula2>
            <xm:f>0</xm:f>
          </x14:formula2>
          <xm:sqref>C2:C31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"/>
  <sheetViews>
    <sheetView showGridLines="0" tabSelected="1" zoomScale="76" zoomScaleNormal="76" workbookViewId="0">
      <selection activeCell="R33" sqref="R33"/>
    </sheetView>
  </sheetViews>
  <sheetFormatPr defaultColWidth="8.6640625" defaultRowHeight="14.4" x14ac:dyDescent="0.3"/>
  <cols>
    <col min="1" max="1" width="20" customWidth="1"/>
    <col min="2" max="2" width="18" customWidth="1"/>
    <col min="3" max="4" width="16" customWidth="1"/>
    <col min="5" max="5" width="14" customWidth="1"/>
    <col min="6" max="6" width="4" customWidth="1"/>
    <col min="9" max="9" width="22.33203125" customWidth="1"/>
    <col min="10" max="10" width="10.6640625" customWidth="1"/>
    <col min="11" max="11" width="6.44140625" customWidth="1"/>
  </cols>
  <sheetData>
    <row r="1" spans="1:10" ht="30" customHeight="1" x14ac:dyDescent="0.4">
      <c r="A1" s="19" t="s">
        <v>167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x14ac:dyDescent="0.3">
      <c r="A2" s="6" t="s">
        <v>168</v>
      </c>
      <c r="B2" s="27">
        <f ca="1">TODAY()</f>
        <v>46236</v>
      </c>
    </row>
    <row r="4" spans="1:10" x14ac:dyDescent="0.3">
      <c r="A4" s="20" t="s">
        <v>169</v>
      </c>
      <c r="B4" s="20"/>
      <c r="C4" s="20" t="s">
        <v>170</v>
      </c>
      <c r="D4" s="20"/>
      <c r="E4" s="20" t="s">
        <v>171</v>
      </c>
      <c r="F4" s="20"/>
      <c r="G4" s="20" t="s">
        <v>172</v>
      </c>
      <c r="H4" s="20"/>
      <c r="I4" s="20" t="s">
        <v>173</v>
      </c>
      <c r="J4" s="20"/>
    </row>
    <row r="5" spans="1:10" x14ac:dyDescent="0.3">
      <c r="A5" s="16">
        <f>COUNTIF(Employee_Master!J2:J31,"Active")</f>
        <v>24</v>
      </c>
      <c r="B5" s="16"/>
      <c r="C5" s="16">
        <f>COUNTIF(Employee_Master!J2:J31,"Resigned")</f>
        <v>6</v>
      </c>
      <c r="D5" s="16"/>
      <c r="E5" s="17">
        <f>COUNTIF(Employee_Master!J2:J31,"Resigned")/COUNTA(Employee_Master!A2:A31)</f>
        <v>0.2</v>
      </c>
      <c r="F5" s="17"/>
      <c r="G5" s="17">
        <f>AVERAGE(Calculations!G2:G31)</f>
        <v>0.92400010814527778</v>
      </c>
      <c r="H5" s="17"/>
      <c r="I5" s="18">
        <f>AVERAGE(Calculations!H2:H31)</f>
        <v>3.6666666666666665</v>
      </c>
      <c r="J5" s="18"/>
    </row>
    <row r="6" spans="1:10" x14ac:dyDescent="0.3">
      <c r="A6" s="16"/>
      <c r="B6" s="16"/>
      <c r="C6" s="16"/>
      <c r="D6" s="16"/>
      <c r="E6" s="17"/>
      <c r="F6" s="17"/>
      <c r="G6" s="17"/>
      <c r="H6" s="17"/>
      <c r="I6" s="18"/>
      <c r="J6" s="18"/>
    </row>
    <row r="8" spans="1:10" ht="15.6" x14ac:dyDescent="0.3">
      <c r="A8" s="7" t="s">
        <v>174</v>
      </c>
    </row>
    <row r="9" spans="1:10" ht="27.6" x14ac:dyDescent="0.3">
      <c r="A9" s="2" t="s">
        <v>30</v>
      </c>
      <c r="B9" s="2" t="s">
        <v>175</v>
      </c>
      <c r="C9" s="2" t="s">
        <v>176</v>
      </c>
      <c r="D9" s="2" t="s">
        <v>172</v>
      </c>
      <c r="E9" s="2" t="s">
        <v>177</v>
      </c>
    </row>
    <row r="10" spans="1:10" x14ac:dyDescent="0.3">
      <c r="A10" s="8" t="s">
        <v>6</v>
      </c>
      <c r="B10" s="8">
        <f>COUNTIFS(Employee_Master!$D$2:$D$31,A10,Employee_Master!$J$2:$J$31,"Active")</f>
        <v>4</v>
      </c>
      <c r="C10" s="9">
        <f>AVERAGEIFS(Employee_Master!$K$2:$K$31,Employee_Master!$D$2:$D$31,A10)</f>
        <v>46400</v>
      </c>
      <c r="D10" s="10">
        <f>AVERAGEIFS(Calculations!$G$2:$G$31,Calculations!$C$2:$C$31,A10)</f>
        <v>0.92472363878242692</v>
      </c>
      <c r="E10" s="11">
        <f>AVERAGEIFS(Calculations!$H$2:$H$31,Calculations!$C$2:$C$31,A10)</f>
        <v>3.4</v>
      </c>
    </row>
    <row r="11" spans="1:10" x14ac:dyDescent="0.3">
      <c r="A11" s="8" t="s">
        <v>12</v>
      </c>
      <c r="B11" s="8">
        <f>COUNTIFS(Employee_Master!$D$2:$D$31,A11,Employee_Master!$J$2:$J$31,"Active")</f>
        <v>5</v>
      </c>
      <c r="C11" s="9">
        <f>AVERAGEIFS(Employee_Master!$K$2:$K$31,Employee_Master!$D$2:$D$31,A11)</f>
        <v>47600</v>
      </c>
      <c r="D11" s="10">
        <f>AVERAGEIFS(Calculations!$G$2:$G$31,Calculations!$C$2:$C$31,A11)</f>
        <v>0.92328244274809157</v>
      </c>
      <c r="E11" s="11">
        <f>AVERAGEIFS(Calculations!$H$2:$H$31,Calculations!$C$2:$C$31,A11)</f>
        <v>4.0999999999999996</v>
      </c>
    </row>
    <row r="12" spans="1:10" x14ac:dyDescent="0.3">
      <c r="A12" s="8" t="s">
        <v>18</v>
      </c>
      <c r="B12" s="8">
        <f>COUNTIFS(Employee_Master!$D$2:$D$31,A12,Employee_Master!$J$2:$J$31,"Active")</f>
        <v>3</v>
      </c>
      <c r="C12" s="9">
        <f>AVERAGEIFS(Employee_Master!$K$2:$K$31,Employee_Master!$D$2:$D$31,A12)</f>
        <v>50600</v>
      </c>
      <c r="D12" s="10">
        <f>AVERAGEIFS(Calculations!$G$2:$G$31,Calculations!$C$2:$C$31,A12)</f>
        <v>0.92099273995663555</v>
      </c>
      <c r="E12" s="11">
        <f>AVERAGEIFS(Calculations!$H$2:$H$31,Calculations!$C$2:$C$31,A12)</f>
        <v>3.5</v>
      </c>
    </row>
    <row r="13" spans="1:10" x14ac:dyDescent="0.3">
      <c r="A13" s="8" t="s">
        <v>22</v>
      </c>
      <c r="B13" s="8">
        <f>COUNTIFS(Employee_Master!$D$2:$D$31,A13,Employee_Master!$J$2:$J$31,"Active")</f>
        <v>4</v>
      </c>
      <c r="C13" s="9">
        <f>AVERAGEIFS(Employee_Master!$K$2:$K$31,Employee_Master!$D$2:$D$31,A13)</f>
        <v>53000</v>
      </c>
      <c r="D13" s="10">
        <f>AVERAGEIFS(Calculations!$G$2:$G$31,Calculations!$C$2:$C$31,A13)</f>
        <v>0.92260241930960984</v>
      </c>
      <c r="E13" s="11">
        <f>AVERAGEIFS(Calculations!$H$2:$H$31,Calculations!$C$2:$C$31,A13)</f>
        <v>4</v>
      </c>
    </row>
    <row r="14" spans="1:10" x14ac:dyDescent="0.3">
      <c r="A14" s="8" t="s">
        <v>25</v>
      </c>
      <c r="B14" s="8">
        <f>COUNTIFS(Employee_Master!$D$2:$D$31,A14,Employee_Master!$J$2:$J$31,"Active")</f>
        <v>4</v>
      </c>
      <c r="C14" s="9">
        <f>AVERAGEIFS(Employee_Master!$K$2:$K$31,Employee_Master!$D$2:$D$31,A14)</f>
        <v>46400</v>
      </c>
      <c r="D14" s="10">
        <f>AVERAGEIFS(Calculations!$G$2:$G$31,Calculations!$C$2:$C$31,A14)</f>
        <v>0.92219516052591133</v>
      </c>
      <c r="E14" s="11">
        <f>AVERAGEIFS(Calculations!$H$2:$H$31,Calculations!$C$2:$C$31,A14)</f>
        <v>3.7</v>
      </c>
    </row>
    <row r="15" spans="1:10" x14ac:dyDescent="0.3">
      <c r="A15" s="8" t="s">
        <v>27</v>
      </c>
      <c r="B15" s="8">
        <f>COUNTIFS(Employee_Master!$D$2:$D$31,A15,Employee_Master!$J$2:$J$31,"Active")</f>
        <v>4</v>
      </c>
      <c r="C15" s="9">
        <f>AVERAGEIFS(Employee_Master!$K$2:$K$31,Employee_Master!$D$2:$D$31,A15)</f>
        <v>54400</v>
      </c>
      <c r="D15" s="10">
        <f>AVERAGEIFS(Calculations!$G$2:$G$31,Calculations!$C$2:$C$31,A15)</f>
        <v>0.93020424754899234</v>
      </c>
      <c r="E15" s="11">
        <f>AVERAGEIFS(Calculations!$H$2:$H$31,Calculations!$C$2:$C$31,A15)</f>
        <v>3.3</v>
      </c>
    </row>
    <row r="17" spans="1:8" ht="15.6" x14ac:dyDescent="0.3">
      <c r="A17" s="7" t="s">
        <v>178</v>
      </c>
    </row>
    <row r="18" spans="1:8" x14ac:dyDescent="0.3">
      <c r="A18" s="2" t="s">
        <v>179</v>
      </c>
      <c r="B18" s="2" t="s">
        <v>29</v>
      </c>
      <c r="C18" s="2" t="s">
        <v>30</v>
      </c>
      <c r="D18" s="2" t="s">
        <v>177</v>
      </c>
    </row>
    <row r="19" spans="1:8" ht="15.6" x14ac:dyDescent="0.3">
      <c r="A19" s="8">
        <v>1</v>
      </c>
      <c r="B19" s="8" t="str">
        <f>IFERROR(INDEX(Calculations!$B$2:$B$31,MATCH(LARGE(Calculations!$H$2:$H$31,1),Calculations!$H$2:$H$31,0)),"")</f>
        <v>Mitu</v>
      </c>
      <c r="C19" s="8" t="str">
        <f>IFERROR(INDEX(Calculations!$C$2:$C$31,MATCH(LARGE(Calculations!$H$2:$H$31,1),Calculations!$H$2:$H$31,0)),"")</f>
        <v>Marketing</v>
      </c>
      <c r="D19" s="11">
        <f>LARGE(Calculations!$H$2:$H$31,1)</f>
        <v>5</v>
      </c>
      <c r="G19" s="7" t="s">
        <v>386</v>
      </c>
    </row>
    <row r="20" spans="1:8" x14ac:dyDescent="0.3">
      <c r="A20" s="8">
        <v>2</v>
      </c>
      <c r="B20" s="8" t="str">
        <f>IFERROR(INDEX(Calculations!$B$2:$B$31,MATCH(LARGE(Calculations!$H$2:$H$31,2),Calculations!$H$2:$H$31,0)),"")</f>
        <v>Nadia</v>
      </c>
      <c r="C20" s="8" t="str">
        <f>IFERROR(INDEX(Calculations!$C$2:$C$31,MATCH(LARGE(Calculations!$H$2:$H$31,2),Calculations!$H$2:$H$31,0)),"")</f>
        <v>Marketing</v>
      </c>
      <c r="D20" s="11">
        <f>LARGE(Calculations!$H$2:$H$31,2)</f>
        <v>4.5</v>
      </c>
      <c r="G20" s="22" t="s">
        <v>188</v>
      </c>
      <c r="H20" s="22" t="s">
        <v>172</v>
      </c>
    </row>
    <row r="21" spans="1:8" x14ac:dyDescent="0.3">
      <c r="A21" s="8">
        <v>3</v>
      </c>
      <c r="B21" s="8" t="str">
        <f>IFERROR(INDEX(Calculations!$B$2:$B$31,MATCH(LARGE(Calculations!$H$2:$H$31,3),Calculations!$H$2:$H$31,0)),"")</f>
        <v>Nadia</v>
      </c>
      <c r="C21" s="8" t="str">
        <f>IFERROR(INDEX(Calculations!$C$2:$C$31,MATCH(LARGE(Calculations!$H$2:$H$31,3),Calculations!$H$2:$H$31,0)),"")</f>
        <v>Marketing</v>
      </c>
      <c r="D21" s="11">
        <f>LARGE(Calculations!$H$2:$H$31,3)</f>
        <v>4.5</v>
      </c>
      <c r="G21" t="s">
        <v>191</v>
      </c>
      <c r="H21" s="21">
        <f>SUMIFS([1]Attendance_Log!$C$2:$C$1000,[1]Attendance_Log!$B$2:$B$1000,G21)/SUMIFS([1]Attendance_Log!$D$2:$D$1000,[1]Attendance_Log!$B$2:$B$1000,G21)</f>
        <v>0.92094861660079053</v>
      </c>
    </row>
    <row r="22" spans="1:8" x14ac:dyDescent="0.3">
      <c r="A22" s="8">
        <v>4</v>
      </c>
      <c r="B22" s="8" t="str">
        <f>IFERROR(INDEX(Calculations!$B$2:$B$31,MATCH(LARGE(Calculations!$H$2:$H$31,4),Calculations!$H$2:$H$31,0)),"")</f>
        <v>Nadia</v>
      </c>
      <c r="C22" s="8" t="str">
        <f>IFERROR(INDEX(Calculations!$C$2:$C$31,MATCH(LARGE(Calculations!$H$2:$H$31,4),Calculations!$H$2:$H$31,0)),"")</f>
        <v>Marketing</v>
      </c>
      <c r="D22" s="11">
        <f>LARGE(Calculations!$H$2:$H$31,4)</f>
        <v>4.5</v>
      </c>
      <c r="G22" t="s">
        <v>194</v>
      </c>
      <c r="H22" s="21">
        <f>SUMIFS([1]Attendance_Log!$C$2:$C$1000,[1]Attendance_Log!$B$2:$B$1000,G22)/SUMIFS([1]Attendance_Log!$D$2:$D$1000,[1]Attendance_Log!$B$2:$B$1000,G22)</f>
        <v>0.92307692307692313</v>
      </c>
    </row>
    <row r="23" spans="1:8" x14ac:dyDescent="0.3">
      <c r="A23" s="8">
        <v>5</v>
      </c>
      <c r="B23" s="8" t="str">
        <f>IFERROR(INDEX(Calculations!$B$2:$B$31,MATCH(LARGE(Calculations!$H$2:$H$31,5),Calculations!$H$2:$H$31,0)),"")</f>
        <v>Nadia</v>
      </c>
      <c r="C23" s="8" t="str">
        <f>IFERROR(INDEX(Calculations!$C$2:$C$31,MATCH(LARGE(Calculations!$H$2:$H$31,5),Calculations!$H$2:$H$31,0)),"")</f>
        <v>Marketing</v>
      </c>
      <c r="D23" s="11">
        <f>LARGE(Calculations!$H$2:$H$31,5)</f>
        <v>4.5</v>
      </c>
      <c r="G23" t="s">
        <v>197</v>
      </c>
      <c r="H23" s="21">
        <f>SUMIFS([1]Attendance_Log!$C$2:$C$1000,[1]Attendance_Log!$B$2:$B$1000,G23)/SUMIFS([1]Attendance_Log!$D$2:$D$1000,[1]Attendance_Log!$B$2:$B$1000,G23)</f>
        <v>0.91720779220779225</v>
      </c>
    </row>
    <row r="24" spans="1:8" x14ac:dyDescent="0.3">
      <c r="G24" t="s">
        <v>200</v>
      </c>
      <c r="H24" s="21">
        <f>SUMIFS([1]Attendance_Log!$C$2:$C$1000,[1]Attendance_Log!$B$2:$B$1000,G24)/SUMIFS([1]Attendance_Log!$D$2:$D$1000,[1]Attendance_Log!$B$2:$B$1000,G24)</f>
        <v>0.93019480519480524</v>
      </c>
    </row>
    <row r="25" spans="1:8" ht="15.6" x14ac:dyDescent="0.3">
      <c r="A25" s="7" t="s">
        <v>180</v>
      </c>
      <c r="G25" t="s">
        <v>203</v>
      </c>
      <c r="H25" s="21">
        <f>SUMIFS([1]Attendance_Log!$C$2:$C$1000,[1]Attendance_Log!$B$2:$B$1000,G25)/SUMIFS([1]Attendance_Log!$D$2:$D$1000,[1]Attendance_Log!$B$2:$B$1000,G25)</f>
        <v>0.93506493506493504</v>
      </c>
    </row>
    <row r="26" spans="1:8" x14ac:dyDescent="0.3">
      <c r="A26" s="2" t="s">
        <v>181</v>
      </c>
      <c r="B26" s="2" t="s">
        <v>182</v>
      </c>
      <c r="G26" t="s">
        <v>206</v>
      </c>
      <c r="H26" s="21">
        <f>SUMIFS([1]Attendance_Log!$C$2:$C$1000,[1]Attendance_Log!$B$2:$B$1000,G26)/SUMIFS([1]Attendance_Log!$D$2:$D$1000,[1]Attendance_Log!$B$2:$B$1000,G26)</f>
        <v>0.91720779220779225</v>
      </c>
    </row>
    <row r="27" spans="1:8" x14ac:dyDescent="0.3">
      <c r="A27" s="8" t="s">
        <v>183</v>
      </c>
      <c r="B27" s="8">
        <f>COUNTIF(Recruitment_Pipeline!$E$2:$E$21,A27)</f>
        <v>1</v>
      </c>
      <c r="G27" t="s">
        <v>209</v>
      </c>
      <c r="H27" s="21">
        <f>SUMIFS([1]Attendance_Log!$C$2:$C$1000,[1]Attendance_Log!$B$2:$B$1000,G27)/SUMIFS([1]Attendance_Log!$D$2:$D$1000,[1]Attendance_Log!$B$2:$B$1000,G27)</f>
        <v>0.92045454545454541</v>
      </c>
    </row>
    <row r="28" spans="1:8" x14ac:dyDescent="0.3">
      <c r="A28" s="8" t="s">
        <v>184</v>
      </c>
      <c r="B28" s="8">
        <f>COUNTIF(Recruitment_Pipeline!$E$2:$E$21,A28)</f>
        <v>4</v>
      </c>
      <c r="G28" t="s">
        <v>212</v>
      </c>
      <c r="H28" s="21">
        <f>SUMIFS([1]Attendance_Log!$C$2:$C$1000,[1]Attendance_Log!$B$2:$B$1000,G28)/SUMIFS([1]Attendance_Log!$D$2:$D$1000,[1]Attendance_Log!$B$2:$B$1000,G28)</f>
        <v>0.92760942760942766</v>
      </c>
    </row>
    <row r="29" spans="1:8" x14ac:dyDescent="0.3">
      <c r="A29" s="8" t="s">
        <v>185</v>
      </c>
      <c r="B29" s="8">
        <f>COUNTIF(Recruitment_Pipeline!$E$2:$E$21,A29)</f>
        <v>8</v>
      </c>
    </row>
    <row r="30" spans="1:8" x14ac:dyDescent="0.3">
      <c r="A30" s="8" t="s">
        <v>186</v>
      </c>
      <c r="B30" s="8">
        <f>COUNTIF(Recruitment_Pipeline!$E$2:$E$21,A30)</f>
        <v>3</v>
      </c>
    </row>
    <row r="31" spans="1:8" x14ac:dyDescent="0.3">
      <c r="A31" s="8" t="s">
        <v>187</v>
      </c>
      <c r="B31" s="8">
        <f>COUNTIF(Recruitment_Pipeline!$E$2:$E$21,A31)</f>
        <v>2</v>
      </c>
    </row>
    <row r="32" spans="1:8" x14ac:dyDescent="0.3">
      <c r="A32" s="8" t="s">
        <v>21</v>
      </c>
      <c r="B32" s="8">
        <f>COUNTIF(Recruitment_Pipeline!$E$2:$E$21,A32)</f>
        <v>2</v>
      </c>
    </row>
    <row r="35" spans="1:4" x14ac:dyDescent="0.3">
      <c r="A35" s="23"/>
      <c r="B35" s="24"/>
      <c r="C35" s="24"/>
      <c r="D35" s="24"/>
    </row>
    <row r="36" spans="1:4" x14ac:dyDescent="0.3">
      <c r="A36" s="24"/>
      <c r="B36" s="24"/>
      <c r="C36" s="24"/>
      <c r="D36" s="24"/>
    </row>
    <row r="37" spans="1:4" ht="15.6" x14ac:dyDescent="0.3">
      <c r="A37" s="25"/>
      <c r="B37" s="24"/>
      <c r="C37" s="24"/>
      <c r="D37" s="24"/>
    </row>
    <row r="38" spans="1:4" x14ac:dyDescent="0.3">
      <c r="A38" s="26"/>
      <c r="B38" s="26"/>
      <c r="C38" s="24"/>
      <c r="D38" s="24"/>
    </row>
    <row r="39" spans="1:4" x14ac:dyDescent="0.3">
      <c r="A39" s="24"/>
      <c r="B39" s="24"/>
      <c r="C39" s="24"/>
      <c r="D39" s="24"/>
    </row>
    <row r="40" spans="1:4" x14ac:dyDescent="0.3">
      <c r="A40" s="24"/>
      <c r="B40" s="24"/>
      <c r="C40" s="24"/>
      <c r="D40" s="24"/>
    </row>
    <row r="41" spans="1:4" x14ac:dyDescent="0.3">
      <c r="A41" s="23"/>
      <c r="B41" s="24"/>
      <c r="C41" s="24"/>
      <c r="D41" s="24"/>
    </row>
    <row r="42" spans="1:4" x14ac:dyDescent="0.3">
      <c r="A42" s="24"/>
      <c r="B42" s="24"/>
      <c r="C42" s="24"/>
      <c r="D42" s="24"/>
    </row>
    <row r="43" spans="1:4" ht="15.6" x14ac:dyDescent="0.3">
      <c r="A43" s="24"/>
      <c r="B43" s="25"/>
      <c r="C43" s="24"/>
      <c r="D43" s="24"/>
    </row>
    <row r="44" spans="1:4" x14ac:dyDescent="0.3">
      <c r="A44" s="24"/>
      <c r="B44" s="26"/>
      <c r="C44" s="26"/>
      <c r="D44" s="24"/>
    </row>
    <row r="45" spans="1:4" x14ac:dyDescent="0.3">
      <c r="A45" s="24"/>
      <c r="B45" s="24"/>
      <c r="C45" s="24"/>
      <c r="D45" s="24"/>
    </row>
    <row r="46" spans="1:4" x14ac:dyDescent="0.3">
      <c r="A46" s="24"/>
      <c r="B46" s="24"/>
      <c r="C46" s="24"/>
      <c r="D46" s="24"/>
    </row>
    <row r="47" spans="1:4" x14ac:dyDescent="0.3">
      <c r="A47" s="24"/>
      <c r="B47" s="24"/>
      <c r="C47" s="24"/>
      <c r="D47" s="24"/>
    </row>
    <row r="48" spans="1:4" x14ac:dyDescent="0.3">
      <c r="A48" s="24"/>
      <c r="B48" s="24"/>
      <c r="C48" s="24"/>
      <c r="D48" s="24"/>
    </row>
    <row r="49" spans="1:4" x14ac:dyDescent="0.3">
      <c r="A49" s="24"/>
      <c r="B49" s="24"/>
      <c r="C49" s="24"/>
      <c r="D49" s="24"/>
    </row>
    <row r="50" spans="1:4" x14ac:dyDescent="0.3">
      <c r="A50" s="24"/>
      <c r="B50" s="24"/>
      <c r="C50" s="24"/>
      <c r="D50" s="24"/>
    </row>
  </sheetData>
  <mergeCells count="11">
    <mergeCell ref="A1:J1"/>
    <mergeCell ref="A4:B4"/>
    <mergeCell ref="C4:D4"/>
    <mergeCell ref="E4:F4"/>
    <mergeCell ref="G4:H4"/>
    <mergeCell ref="I4:J4"/>
    <mergeCell ref="A5:B6"/>
    <mergeCell ref="C5:D6"/>
    <mergeCell ref="E5:F6"/>
    <mergeCell ref="G5:H6"/>
    <mergeCell ref="I5:J6"/>
  </mergeCells>
  <conditionalFormatting sqref="D10:D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0" customWidth="1"/>
    <col min="3" max="4" width="13" customWidth="1"/>
  </cols>
  <sheetData>
    <row r="1" spans="1:4" ht="27.6" x14ac:dyDescent="0.3">
      <c r="A1" s="2" t="s">
        <v>28</v>
      </c>
      <c r="B1" s="2" t="s">
        <v>188</v>
      </c>
      <c r="C1" s="2" t="s">
        <v>189</v>
      </c>
      <c r="D1" s="2" t="s">
        <v>190</v>
      </c>
    </row>
    <row r="2" spans="1:4" x14ac:dyDescent="0.3">
      <c r="A2" s="3" t="s">
        <v>39</v>
      </c>
      <c r="B2" s="3" t="s">
        <v>191</v>
      </c>
      <c r="C2" s="3">
        <v>22</v>
      </c>
      <c r="D2" s="3">
        <v>22</v>
      </c>
    </row>
    <row r="3" spans="1:4" x14ac:dyDescent="0.3">
      <c r="A3" s="3" t="s">
        <v>44</v>
      </c>
      <c r="B3" s="3" t="s">
        <v>191</v>
      </c>
      <c r="C3" s="3">
        <v>22</v>
      </c>
      <c r="D3" s="3">
        <v>22</v>
      </c>
    </row>
    <row r="4" spans="1:4" x14ac:dyDescent="0.3">
      <c r="A4" s="3" t="s">
        <v>54</v>
      </c>
      <c r="B4" s="3" t="s">
        <v>191</v>
      </c>
      <c r="C4" s="3">
        <v>22</v>
      </c>
      <c r="D4" s="3">
        <v>22</v>
      </c>
    </row>
    <row r="5" spans="1:4" x14ac:dyDescent="0.3">
      <c r="A5" s="3" t="s">
        <v>59</v>
      </c>
      <c r="B5" s="3" t="s">
        <v>191</v>
      </c>
      <c r="C5" s="3">
        <v>20</v>
      </c>
      <c r="D5" s="3">
        <v>22</v>
      </c>
    </row>
    <row r="6" spans="1:4" x14ac:dyDescent="0.3">
      <c r="A6" s="3" t="s">
        <v>64</v>
      </c>
      <c r="B6" s="3" t="s">
        <v>191</v>
      </c>
      <c r="C6" s="3">
        <v>20</v>
      </c>
      <c r="D6" s="3">
        <v>22</v>
      </c>
    </row>
    <row r="7" spans="1:4" x14ac:dyDescent="0.3">
      <c r="A7" s="3" t="s">
        <v>69</v>
      </c>
      <c r="B7" s="3" t="s">
        <v>191</v>
      </c>
      <c r="C7" s="3">
        <v>22</v>
      </c>
      <c r="D7" s="3">
        <v>22</v>
      </c>
    </row>
    <row r="8" spans="1:4" x14ac:dyDescent="0.3">
      <c r="A8" s="3" t="s">
        <v>74</v>
      </c>
      <c r="B8" s="3" t="s">
        <v>191</v>
      </c>
      <c r="C8" s="3">
        <v>20</v>
      </c>
      <c r="D8" s="3">
        <v>22</v>
      </c>
    </row>
    <row r="9" spans="1:4" x14ac:dyDescent="0.3">
      <c r="A9" s="3" t="s">
        <v>79</v>
      </c>
      <c r="B9" s="3" t="s">
        <v>191</v>
      </c>
      <c r="C9" s="3">
        <v>19</v>
      </c>
      <c r="D9" s="3">
        <v>22</v>
      </c>
    </row>
    <row r="10" spans="1:4" x14ac:dyDescent="0.3">
      <c r="A10" s="3" t="s">
        <v>91</v>
      </c>
      <c r="B10" s="3" t="s">
        <v>191</v>
      </c>
      <c r="C10" s="3">
        <v>22</v>
      </c>
      <c r="D10" s="3">
        <v>22</v>
      </c>
    </row>
    <row r="11" spans="1:4" x14ac:dyDescent="0.3">
      <c r="A11" s="3" t="s">
        <v>95</v>
      </c>
      <c r="B11" s="3" t="s">
        <v>191</v>
      </c>
      <c r="C11" s="3">
        <v>21</v>
      </c>
      <c r="D11" s="3">
        <v>22</v>
      </c>
    </row>
    <row r="12" spans="1:4" x14ac:dyDescent="0.3">
      <c r="A12" s="3" t="s">
        <v>99</v>
      </c>
      <c r="B12" s="3" t="s">
        <v>191</v>
      </c>
      <c r="C12" s="3">
        <v>20</v>
      </c>
      <c r="D12" s="3">
        <v>22</v>
      </c>
    </row>
    <row r="13" spans="1:4" x14ac:dyDescent="0.3">
      <c r="A13" s="3" t="s">
        <v>103</v>
      </c>
      <c r="B13" s="3" t="s">
        <v>191</v>
      </c>
      <c r="C13" s="3">
        <v>19</v>
      </c>
      <c r="D13" s="3">
        <v>22</v>
      </c>
    </row>
    <row r="14" spans="1:4" x14ac:dyDescent="0.3">
      <c r="A14" s="3" t="s">
        <v>107</v>
      </c>
      <c r="B14" s="3" t="s">
        <v>191</v>
      </c>
      <c r="C14" s="3">
        <v>19</v>
      </c>
      <c r="D14" s="3">
        <v>22</v>
      </c>
    </row>
    <row r="15" spans="1:4" x14ac:dyDescent="0.3">
      <c r="A15" s="3" t="s">
        <v>115</v>
      </c>
      <c r="B15" s="3" t="s">
        <v>191</v>
      </c>
      <c r="C15" s="3">
        <v>21</v>
      </c>
      <c r="D15" s="3">
        <v>22</v>
      </c>
    </row>
    <row r="16" spans="1:4" x14ac:dyDescent="0.3">
      <c r="A16" s="3" t="s">
        <v>119</v>
      </c>
      <c r="B16" s="3" t="s">
        <v>191</v>
      </c>
      <c r="C16" s="3">
        <v>22</v>
      </c>
      <c r="D16" s="3">
        <v>22</v>
      </c>
    </row>
    <row r="17" spans="1:4" x14ac:dyDescent="0.3">
      <c r="A17" s="3" t="s">
        <v>123</v>
      </c>
      <c r="B17" s="3" t="s">
        <v>191</v>
      </c>
      <c r="C17" s="3">
        <v>20</v>
      </c>
      <c r="D17" s="3">
        <v>22</v>
      </c>
    </row>
    <row r="18" spans="1:4" x14ac:dyDescent="0.3">
      <c r="A18" s="3" t="s">
        <v>127</v>
      </c>
      <c r="B18" s="3" t="s">
        <v>191</v>
      </c>
      <c r="C18" s="3">
        <v>19</v>
      </c>
      <c r="D18" s="3">
        <v>22</v>
      </c>
    </row>
    <row r="19" spans="1:4" x14ac:dyDescent="0.3">
      <c r="A19" s="3" t="s">
        <v>131</v>
      </c>
      <c r="B19" s="3" t="s">
        <v>191</v>
      </c>
      <c r="C19" s="3">
        <v>19</v>
      </c>
      <c r="D19" s="3">
        <v>22</v>
      </c>
    </row>
    <row r="20" spans="1:4" x14ac:dyDescent="0.3">
      <c r="A20" s="3" t="s">
        <v>135</v>
      </c>
      <c r="B20" s="3" t="s">
        <v>191</v>
      </c>
      <c r="C20" s="3">
        <v>19</v>
      </c>
      <c r="D20" s="3">
        <v>22</v>
      </c>
    </row>
    <row r="21" spans="1:4" x14ac:dyDescent="0.3">
      <c r="A21" s="3" t="s">
        <v>143</v>
      </c>
      <c r="B21" s="3" t="s">
        <v>191</v>
      </c>
      <c r="C21" s="3">
        <v>19</v>
      </c>
      <c r="D21" s="3">
        <v>22</v>
      </c>
    </row>
    <row r="22" spans="1:4" x14ac:dyDescent="0.3">
      <c r="A22" s="3" t="s">
        <v>147</v>
      </c>
      <c r="B22" s="3" t="s">
        <v>191</v>
      </c>
      <c r="C22" s="3">
        <v>20</v>
      </c>
      <c r="D22" s="3">
        <v>22</v>
      </c>
    </row>
    <row r="23" spans="1:4" x14ac:dyDescent="0.3">
      <c r="A23" s="3" t="s">
        <v>151</v>
      </c>
      <c r="B23" s="3" t="s">
        <v>191</v>
      </c>
      <c r="C23" s="3">
        <v>20</v>
      </c>
      <c r="D23" s="3">
        <v>22</v>
      </c>
    </row>
    <row r="24" spans="1:4" x14ac:dyDescent="0.3">
      <c r="A24" s="3" t="s">
        <v>163</v>
      </c>
      <c r="B24" s="3" t="s">
        <v>191</v>
      </c>
      <c r="C24" s="3">
        <v>19</v>
      </c>
      <c r="D24" s="3">
        <v>22</v>
      </c>
    </row>
    <row r="25" spans="1:4" x14ac:dyDescent="0.3">
      <c r="A25" s="3" t="s">
        <v>39</v>
      </c>
      <c r="B25" s="3" t="s">
        <v>192</v>
      </c>
      <c r="C25" s="3">
        <v>22</v>
      </c>
      <c r="D25" s="3">
        <v>22</v>
      </c>
    </row>
    <row r="26" spans="1:4" x14ac:dyDescent="0.3">
      <c r="A26" s="3" t="s">
        <v>44</v>
      </c>
      <c r="B26" s="3" t="s">
        <v>192</v>
      </c>
      <c r="C26" s="3">
        <v>21</v>
      </c>
      <c r="D26" s="3">
        <v>22</v>
      </c>
    </row>
    <row r="27" spans="1:4" x14ac:dyDescent="0.3">
      <c r="A27" s="3" t="s">
        <v>54</v>
      </c>
      <c r="B27" s="3" t="s">
        <v>192</v>
      </c>
      <c r="C27" s="3">
        <v>22</v>
      </c>
      <c r="D27" s="3">
        <v>22</v>
      </c>
    </row>
    <row r="28" spans="1:4" x14ac:dyDescent="0.3">
      <c r="A28" s="3" t="s">
        <v>59</v>
      </c>
      <c r="B28" s="3" t="s">
        <v>192</v>
      </c>
      <c r="C28" s="3">
        <v>20</v>
      </c>
      <c r="D28" s="3">
        <v>22</v>
      </c>
    </row>
    <row r="29" spans="1:4" x14ac:dyDescent="0.3">
      <c r="A29" s="3" t="s">
        <v>64</v>
      </c>
      <c r="B29" s="3" t="s">
        <v>192</v>
      </c>
      <c r="C29" s="3">
        <v>20</v>
      </c>
      <c r="D29" s="3">
        <v>22</v>
      </c>
    </row>
    <row r="30" spans="1:4" x14ac:dyDescent="0.3">
      <c r="A30" s="3" t="s">
        <v>69</v>
      </c>
      <c r="B30" s="3" t="s">
        <v>192</v>
      </c>
      <c r="C30" s="3">
        <v>21</v>
      </c>
      <c r="D30" s="3">
        <v>22</v>
      </c>
    </row>
    <row r="31" spans="1:4" x14ac:dyDescent="0.3">
      <c r="A31" s="3" t="s">
        <v>74</v>
      </c>
      <c r="B31" s="3" t="s">
        <v>192</v>
      </c>
      <c r="C31" s="3">
        <v>22</v>
      </c>
      <c r="D31" s="3">
        <v>22</v>
      </c>
    </row>
    <row r="32" spans="1:4" x14ac:dyDescent="0.3">
      <c r="A32" s="3" t="s">
        <v>79</v>
      </c>
      <c r="B32" s="3" t="s">
        <v>192</v>
      </c>
      <c r="C32" s="3">
        <v>19</v>
      </c>
      <c r="D32" s="3">
        <v>22</v>
      </c>
    </row>
    <row r="33" spans="1:4" x14ac:dyDescent="0.3">
      <c r="A33" s="3" t="s">
        <v>87</v>
      </c>
      <c r="B33" s="3" t="s">
        <v>192</v>
      </c>
      <c r="C33" s="3">
        <v>19</v>
      </c>
      <c r="D33" s="3">
        <v>22</v>
      </c>
    </row>
    <row r="34" spans="1:4" x14ac:dyDescent="0.3">
      <c r="A34" s="3" t="s">
        <v>91</v>
      </c>
      <c r="B34" s="3" t="s">
        <v>192</v>
      </c>
      <c r="C34" s="3">
        <v>22</v>
      </c>
      <c r="D34" s="3">
        <v>22</v>
      </c>
    </row>
    <row r="35" spans="1:4" x14ac:dyDescent="0.3">
      <c r="A35" s="3" t="s">
        <v>95</v>
      </c>
      <c r="B35" s="3" t="s">
        <v>192</v>
      </c>
      <c r="C35" s="3">
        <v>20</v>
      </c>
      <c r="D35" s="3">
        <v>22</v>
      </c>
    </row>
    <row r="36" spans="1:4" x14ac:dyDescent="0.3">
      <c r="A36" s="3" t="s">
        <v>99</v>
      </c>
      <c r="B36" s="3" t="s">
        <v>192</v>
      </c>
      <c r="C36" s="3">
        <v>22</v>
      </c>
      <c r="D36" s="3">
        <v>22</v>
      </c>
    </row>
    <row r="37" spans="1:4" x14ac:dyDescent="0.3">
      <c r="A37" s="3" t="s">
        <v>103</v>
      </c>
      <c r="B37" s="3" t="s">
        <v>192</v>
      </c>
      <c r="C37" s="3">
        <v>19</v>
      </c>
      <c r="D37" s="3">
        <v>22</v>
      </c>
    </row>
    <row r="38" spans="1:4" x14ac:dyDescent="0.3">
      <c r="A38" s="3" t="s">
        <v>107</v>
      </c>
      <c r="B38" s="3" t="s">
        <v>192</v>
      </c>
      <c r="C38" s="3">
        <v>20</v>
      </c>
      <c r="D38" s="3">
        <v>22</v>
      </c>
    </row>
    <row r="39" spans="1:4" x14ac:dyDescent="0.3">
      <c r="A39" s="3" t="s">
        <v>115</v>
      </c>
      <c r="B39" s="3" t="s">
        <v>192</v>
      </c>
      <c r="C39" s="3">
        <v>21</v>
      </c>
      <c r="D39" s="3">
        <v>22</v>
      </c>
    </row>
    <row r="40" spans="1:4" x14ac:dyDescent="0.3">
      <c r="A40" s="3" t="s">
        <v>119</v>
      </c>
      <c r="B40" s="3" t="s">
        <v>192</v>
      </c>
      <c r="C40" s="3">
        <v>20</v>
      </c>
      <c r="D40" s="3">
        <v>22</v>
      </c>
    </row>
    <row r="41" spans="1:4" x14ac:dyDescent="0.3">
      <c r="A41" s="3" t="s">
        <v>123</v>
      </c>
      <c r="B41" s="3" t="s">
        <v>192</v>
      </c>
      <c r="C41" s="3">
        <v>21</v>
      </c>
      <c r="D41" s="3">
        <v>22</v>
      </c>
    </row>
    <row r="42" spans="1:4" x14ac:dyDescent="0.3">
      <c r="A42" s="3" t="s">
        <v>127</v>
      </c>
      <c r="B42" s="3" t="s">
        <v>192</v>
      </c>
      <c r="C42" s="3">
        <v>19</v>
      </c>
      <c r="D42" s="3">
        <v>22</v>
      </c>
    </row>
    <row r="43" spans="1:4" x14ac:dyDescent="0.3">
      <c r="A43" s="3" t="s">
        <v>131</v>
      </c>
      <c r="B43" s="3" t="s">
        <v>192</v>
      </c>
      <c r="C43" s="3">
        <v>19</v>
      </c>
      <c r="D43" s="3">
        <v>22</v>
      </c>
    </row>
    <row r="44" spans="1:4" x14ac:dyDescent="0.3">
      <c r="A44" s="3" t="s">
        <v>135</v>
      </c>
      <c r="B44" s="3" t="s">
        <v>192</v>
      </c>
      <c r="C44" s="3">
        <v>19</v>
      </c>
      <c r="D44" s="3">
        <v>22</v>
      </c>
    </row>
    <row r="45" spans="1:4" x14ac:dyDescent="0.3">
      <c r="A45" s="3" t="s">
        <v>143</v>
      </c>
      <c r="B45" s="3" t="s">
        <v>192</v>
      </c>
      <c r="C45" s="3">
        <v>21</v>
      </c>
      <c r="D45" s="3">
        <v>22</v>
      </c>
    </row>
    <row r="46" spans="1:4" x14ac:dyDescent="0.3">
      <c r="A46" s="3" t="s">
        <v>147</v>
      </c>
      <c r="B46" s="3" t="s">
        <v>192</v>
      </c>
      <c r="C46" s="3">
        <v>19</v>
      </c>
      <c r="D46" s="3">
        <v>22</v>
      </c>
    </row>
    <row r="47" spans="1:4" x14ac:dyDescent="0.3">
      <c r="A47" s="3" t="s">
        <v>151</v>
      </c>
      <c r="B47" s="3" t="s">
        <v>192</v>
      </c>
      <c r="C47" s="3">
        <v>21</v>
      </c>
      <c r="D47" s="3">
        <v>22</v>
      </c>
    </row>
    <row r="48" spans="1:4" x14ac:dyDescent="0.3">
      <c r="A48" s="3" t="s">
        <v>155</v>
      </c>
      <c r="B48" s="3" t="s">
        <v>192</v>
      </c>
      <c r="C48" s="3">
        <v>21</v>
      </c>
      <c r="D48" s="3">
        <v>22</v>
      </c>
    </row>
    <row r="49" spans="1:4" x14ac:dyDescent="0.3">
      <c r="A49" s="3" t="s">
        <v>163</v>
      </c>
      <c r="B49" s="3" t="s">
        <v>192</v>
      </c>
      <c r="C49" s="3">
        <v>19</v>
      </c>
      <c r="D49" s="3">
        <v>22</v>
      </c>
    </row>
    <row r="50" spans="1:4" x14ac:dyDescent="0.3">
      <c r="A50" s="3" t="s">
        <v>39</v>
      </c>
      <c r="B50" s="3" t="s">
        <v>193</v>
      </c>
      <c r="C50" s="3">
        <v>19</v>
      </c>
      <c r="D50" s="3">
        <v>22</v>
      </c>
    </row>
    <row r="51" spans="1:4" x14ac:dyDescent="0.3">
      <c r="A51" s="3" t="s">
        <v>44</v>
      </c>
      <c r="B51" s="3" t="s">
        <v>193</v>
      </c>
      <c r="C51" s="3">
        <v>19</v>
      </c>
      <c r="D51" s="3">
        <v>22</v>
      </c>
    </row>
    <row r="52" spans="1:4" x14ac:dyDescent="0.3">
      <c r="A52" s="3" t="s">
        <v>54</v>
      </c>
      <c r="B52" s="3" t="s">
        <v>193</v>
      </c>
      <c r="C52" s="3">
        <v>20</v>
      </c>
      <c r="D52" s="3">
        <v>22</v>
      </c>
    </row>
    <row r="53" spans="1:4" x14ac:dyDescent="0.3">
      <c r="A53" s="3" t="s">
        <v>59</v>
      </c>
      <c r="B53" s="3" t="s">
        <v>193</v>
      </c>
      <c r="C53" s="3">
        <v>20</v>
      </c>
      <c r="D53" s="3">
        <v>22</v>
      </c>
    </row>
    <row r="54" spans="1:4" x14ac:dyDescent="0.3">
      <c r="A54" s="3" t="s">
        <v>64</v>
      </c>
      <c r="B54" s="3" t="s">
        <v>193</v>
      </c>
      <c r="C54" s="3">
        <v>19</v>
      </c>
      <c r="D54" s="3">
        <v>22</v>
      </c>
    </row>
    <row r="55" spans="1:4" x14ac:dyDescent="0.3">
      <c r="A55" s="3" t="s">
        <v>69</v>
      </c>
      <c r="B55" s="3" t="s">
        <v>193</v>
      </c>
      <c r="C55" s="3">
        <v>22</v>
      </c>
      <c r="D55" s="3">
        <v>22</v>
      </c>
    </row>
    <row r="56" spans="1:4" x14ac:dyDescent="0.3">
      <c r="A56" s="3" t="s">
        <v>74</v>
      </c>
      <c r="B56" s="3" t="s">
        <v>193</v>
      </c>
      <c r="C56" s="3">
        <v>21</v>
      </c>
      <c r="D56" s="3">
        <v>22</v>
      </c>
    </row>
    <row r="57" spans="1:4" x14ac:dyDescent="0.3">
      <c r="A57" s="3" t="s">
        <v>79</v>
      </c>
      <c r="B57" s="3" t="s">
        <v>193</v>
      </c>
      <c r="C57" s="3">
        <v>21</v>
      </c>
      <c r="D57" s="3">
        <v>22</v>
      </c>
    </row>
    <row r="58" spans="1:4" x14ac:dyDescent="0.3">
      <c r="A58" s="3" t="s">
        <v>87</v>
      </c>
      <c r="B58" s="3" t="s">
        <v>193</v>
      </c>
      <c r="C58" s="3">
        <v>22</v>
      </c>
      <c r="D58" s="3">
        <v>22</v>
      </c>
    </row>
    <row r="59" spans="1:4" x14ac:dyDescent="0.3">
      <c r="A59" s="3" t="s">
        <v>91</v>
      </c>
      <c r="B59" s="3" t="s">
        <v>193</v>
      </c>
      <c r="C59" s="3">
        <v>19</v>
      </c>
      <c r="D59" s="3">
        <v>22</v>
      </c>
    </row>
    <row r="60" spans="1:4" x14ac:dyDescent="0.3">
      <c r="A60" s="3" t="s">
        <v>95</v>
      </c>
      <c r="B60" s="3" t="s">
        <v>193</v>
      </c>
      <c r="C60" s="3">
        <v>20</v>
      </c>
      <c r="D60" s="3">
        <v>22</v>
      </c>
    </row>
    <row r="61" spans="1:4" x14ac:dyDescent="0.3">
      <c r="A61" s="3" t="s">
        <v>99</v>
      </c>
      <c r="B61" s="3" t="s">
        <v>193</v>
      </c>
      <c r="C61" s="3">
        <v>20</v>
      </c>
      <c r="D61" s="3">
        <v>22</v>
      </c>
    </row>
    <row r="62" spans="1:4" x14ac:dyDescent="0.3">
      <c r="A62" s="3" t="s">
        <v>103</v>
      </c>
      <c r="B62" s="3" t="s">
        <v>193</v>
      </c>
      <c r="C62" s="3">
        <v>21</v>
      </c>
      <c r="D62" s="3">
        <v>22</v>
      </c>
    </row>
    <row r="63" spans="1:4" x14ac:dyDescent="0.3">
      <c r="A63" s="3" t="s">
        <v>107</v>
      </c>
      <c r="B63" s="3" t="s">
        <v>193</v>
      </c>
      <c r="C63" s="3">
        <v>19</v>
      </c>
      <c r="D63" s="3">
        <v>22</v>
      </c>
    </row>
    <row r="64" spans="1:4" x14ac:dyDescent="0.3">
      <c r="A64" s="3" t="s">
        <v>115</v>
      </c>
      <c r="B64" s="3" t="s">
        <v>193</v>
      </c>
      <c r="C64" s="3">
        <v>21</v>
      </c>
      <c r="D64" s="3">
        <v>22</v>
      </c>
    </row>
    <row r="65" spans="1:4" x14ac:dyDescent="0.3">
      <c r="A65" s="3" t="s">
        <v>119</v>
      </c>
      <c r="B65" s="3" t="s">
        <v>193</v>
      </c>
      <c r="C65" s="3">
        <v>21</v>
      </c>
      <c r="D65" s="3">
        <v>22</v>
      </c>
    </row>
    <row r="66" spans="1:4" x14ac:dyDescent="0.3">
      <c r="A66" s="3" t="s">
        <v>123</v>
      </c>
      <c r="B66" s="3" t="s">
        <v>193</v>
      </c>
      <c r="C66" s="3">
        <v>19</v>
      </c>
      <c r="D66" s="3">
        <v>22</v>
      </c>
    </row>
    <row r="67" spans="1:4" x14ac:dyDescent="0.3">
      <c r="A67" s="3" t="s">
        <v>127</v>
      </c>
      <c r="B67" s="3" t="s">
        <v>193</v>
      </c>
      <c r="C67" s="3">
        <v>22</v>
      </c>
      <c r="D67" s="3">
        <v>22</v>
      </c>
    </row>
    <row r="68" spans="1:4" x14ac:dyDescent="0.3">
      <c r="A68" s="3" t="s">
        <v>131</v>
      </c>
      <c r="B68" s="3" t="s">
        <v>193</v>
      </c>
      <c r="C68" s="3">
        <v>19</v>
      </c>
      <c r="D68" s="3">
        <v>22</v>
      </c>
    </row>
    <row r="69" spans="1:4" x14ac:dyDescent="0.3">
      <c r="A69" s="3" t="s">
        <v>135</v>
      </c>
      <c r="B69" s="3" t="s">
        <v>193</v>
      </c>
      <c r="C69" s="3">
        <v>20</v>
      </c>
      <c r="D69" s="3">
        <v>22</v>
      </c>
    </row>
    <row r="70" spans="1:4" x14ac:dyDescent="0.3">
      <c r="A70" s="3" t="s">
        <v>143</v>
      </c>
      <c r="B70" s="3" t="s">
        <v>193</v>
      </c>
      <c r="C70" s="3">
        <v>20</v>
      </c>
      <c r="D70" s="3">
        <v>22</v>
      </c>
    </row>
    <row r="71" spans="1:4" x14ac:dyDescent="0.3">
      <c r="A71" s="3" t="s">
        <v>147</v>
      </c>
      <c r="B71" s="3" t="s">
        <v>193</v>
      </c>
      <c r="C71" s="3">
        <v>19</v>
      </c>
      <c r="D71" s="3">
        <v>22</v>
      </c>
    </row>
    <row r="72" spans="1:4" x14ac:dyDescent="0.3">
      <c r="A72" s="3" t="s">
        <v>151</v>
      </c>
      <c r="B72" s="3" t="s">
        <v>193</v>
      </c>
      <c r="C72" s="3">
        <v>19</v>
      </c>
      <c r="D72" s="3">
        <v>22</v>
      </c>
    </row>
    <row r="73" spans="1:4" x14ac:dyDescent="0.3">
      <c r="A73" s="3" t="s">
        <v>155</v>
      </c>
      <c r="B73" s="3" t="s">
        <v>193</v>
      </c>
      <c r="C73" s="3">
        <v>19</v>
      </c>
      <c r="D73" s="3">
        <v>22</v>
      </c>
    </row>
    <row r="74" spans="1:4" x14ac:dyDescent="0.3">
      <c r="A74" s="3" t="s">
        <v>163</v>
      </c>
      <c r="B74" s="3" t="s">
        <v>193</v>
      </c>
      <c r="C74" s="3">
        <v>22</v>
      </c>
      <c r="D74" s="3">
        <v>22</v>
      </c>
    </row>
    <row r="75" spans="1:4" x14ac:dyDescent="0.3">
      <c r="A75" s="3" t="s">
        <v>39</v>
      </c>
      <c r="B75" s="3" t="s">
        <v>194</v>
      </c>
      <c r="C75" s="3">
        <v>22</v>
      </c>
      <c r="D75" s="3">
        <v>22</v>
      </c>
    </row>
    <row r="76" spans="1:4" x14ac:dyDescent="0.3">
      <c r="A76" s="3" t="s">
        <v>44</v>
      </c>
      <c r="B76" s="3" t="s">
        <v>194</v>
      </c>
      <c r="C76" s="3">
        <v>20</v>
      </c>
      <c r="D76" s="3">
        <v>22</v>
      </c>
    </row>
    <row r="77" spans="1:4" x14ac:dyDescent="0.3">
      <c r="A77" s="3" t="s">
        <v>54</v>
      </c>
      <c r="B77" s="3" t="s">
        <v>194</v>
      </c>
      <c r="C77" s="3">
        <v>20</v>
      </c>
      <c r="D77" s="3">
        <v>22</v>
      </c>
    </row>
    <row r="78" spans="1:4" x14ac:dyDescent="0.3">
      <c r="A78" s="3" t="s">
        <v>59</v>
      </c>
      <c r="B78" s="3" t="s">
        <v>194</v>
      </c>
      <c r="C78" s="3">
        <v>22</v>
      </c>
      <c r="D78" s="3">
        <v>22</v>
      </c>
    </row>
    <row r="79" spans="1:4" x14ac:dyDescent="0.3">
      <c r="A79" s="3" t="s">
        <v>64</v>
      </c>
      <c r="B79" s="3" t="s">
        <v>194</v>
      </c>
      <c r="C79" s="3">
        <v>20</v>
      </c>
      <c r="D79" s="3">
        <v>22</v>
      </c>
    </row>
    <row r="80" spans="1:4" x14ac:dyDescent="0.3">
      <c r="A80" s="3" t="s">
        <v>69</v>
      </c>
      <c r="B80" s="3" t="s">
        <v>194</v>
      </c>
      <c r="C80" s="3">
        <v>20</v>
      </c>
      <c r="D80" s="3">
        <v>22</v>
      </c>
    </row>
    <row r="81" spans="1:4" x14ac:dyDescent="0.3">
      <c r="A81" s="3" t="s">
        <v>74</v>
      </c>
      <c r="B81" s="3" t="s">
        <v>194</v>
      </c>
      <c r="C81" s="3">
        <v>22</v>
      </c>
      <c r="D81" s="3">
        <v>22</v>
      </c>
    </row>
    <row r="82" spans="1:4" x14ac:dyDescent="0.3">
      <c r="A82" s="3" t="s">
        <v>79</v>
      </c>
      <c r="B82" s="3" t="s">
        <v>194</v>
      </c>
      <c r="C82" s="3">
        <v>21</v>
      </c>
      <c r="D82" s="3">
        <v>22</v>
      </c>
    </row>
    <row r="83" spans="1:4" x14ac:dyDescent="0.3">
      <c r="A83" s="3" t="s">
        <v>87</v>
      </c>
      <c r="B83" s="3" t="s">
        <v>194</v>
      </c>
      <c r="C83" s="3">
        <v>19</v>
      </c>
      <c r="D83" s="3">
        <v>22</v>
      </c>
    </row>
    <row r="84" spans="1:4" x14ac:dyDescent="0.3">
      <c r="A84" s="3" t="s">
        <v>91</v>
      </c>
      <c r="B84" s="3" t="s">
        <v>194</v>
      </c>
      <c r="C84" s="3">
        <v>21</v>
      </c>
      <c r="D84" s="3">
        <v>22</v>
      </c>
    </row>
    <row r="85" spans="1:4" x14ac:dyDescent="0.3">
      <c r="A85" s="3" t="s">
        <v>95</v>
      </c>
      <c r="B85" s="3" t="s">
        <v>194</v>
      </c>
      <c r="C85" s="3">
        <v>22</v>
      </c>
      <c r="D85" s="3">
        <v>22</v>
      </c>
    </row>
    <row r="86" spans="1:4" x14ac:dyDescent="0.3">
      <c r="A86" s="3" t="s">
        <v>99</v>
      </c>
      <c r="B86" s="3" t="s">
        <v>194</v>
      </c>
      <c r="C86" s="3">
        <v>20</v>
      </c>
      <c r="D86" s="3">
        <v>22</v>
      </c>
    </row>
    <row r="87" spans="1:4" x14ac:dyDescent="0.3">
      <c r="A87" s="3" t="s">
        <v>103</v>
      </c>
      <c r="B87" s="3" t="s">
        <v>194</v>
      </c>
      <c r="C87" s="3">
        <v>19</v>
      </c>
      <c r="D87" s="3">
        <v>22</v>
      </c>
    </row>
    <row r="88" spans="1:4" x14ac:dyDescent="0.3">
      <c r="A88" s="3" t="s">
        <v>107</v>
      </c>
      <c r="B88" s="3" t="s">
        <v>194</v>
      </c>
      <c r="C88" s="3">
        <v>20</v>
      </c>
      <c r="D88" s="3">
        <v>22</v>
      </c>
    </row>
    <row r="89" spans="1:4" x14ac:dyDescent="0.3">
      <c r="A89" s="3" t="s">
        <v>115</v>
      </c>
      <c r="B89" s="3" t="s">
        <v>194</v>
      </c>
      <c r="C89" s="3">
        <v>21</v>
      </c>
      <c r="D89" s="3">
        <v>22</v>
      </c>
    </row>
    <row r="90" spans="1:4" x14ac:dyDescent="0.3">
      <c r="A90" s="3" t="s">
        <v>119</v>
      </c>
      <c r="B90" s="3" t="s">
        <v>194</v>
      </c>
      <c r="C90" s="3">
        <v>19</v>
      </c>
      <c r="D90" s="3">
        <v>22</v>
      </c>
    </row>
    <row r="91" spans="1:4" x14ac:dyDescent="0.3">
      <c r="A91" s="3" t="s">
        <v>123</v>
      </c>
      <c r="B91" s="3" t="s">
        <v>194</v>
      </c>
      <c r="C91" s="3">
        <v>20</v>
      </c>
      <c r="D91" s="3">
        <v>22</v>
      </c>
    </row>
    <row r="92" spans="1:4" x14ac:dyDescent="0.3">
      <c r="A92" s="3" t="s">
        <v>127</v>
      </c>
      <c r="B92" s="3" t="s">
        <v>194</v>
      </c>
      <c r="C92" s="3">
        <v>20</v>
      </c>
      <c r="D92" s="3">
        <v>22</v>
      </c>
    </row>
    <row r="93" spans="1:4" x14ac:dyDescent="0.3">
      <c r="A93" s="3" t="s">
        <v>131</v>
      </c>
      <c r="B93" s="3" t="s">
        <v>194</v>
      </c>
      <c r="C93" s="3">
        <v>21</v>
      </c>
      <c r="D93" s="3">
        <v>22</v>
      </c>
    </row>
    <row r="94" spans="1:4" x14ac:dyDescent="0.3">
      <c r="A94" s="3" t="s">
        <v>135</v>
      </c>
      <c r="B94" s="3" t="s">
        <v>194</v>
      </c>
      <c r="C94" s="3">
        <v>19</v>
      </c>
      <c r="D94" s="3">
        <v>22</v>
      </c>
    </row>
    <row r="95" spans="1:4" x14ac:dyDescent="0.3">
      <c r="A95" s="3" t="s">
        <v>139</v>
      </c>
      <c r="B95" s="3" t="s">
        <v>194</v>
      </c>
      <c r="C95" s="3">
        <v>19</v>
      </c>
      <c r="D95" s="3">
        <v>22</v>
      </c>
    </row>
    <row r="96" spans="1:4" x14ac:dyDescent="0.3">
      <c r="A96" s="3" t="s">
        <v>143</v>
      </c>
      <c r="B96" s="3" t="s">
        <v>194</v>
      </c>
      <c r="C96" s="3">
        <v>20</v>
      </c>
      <c r="D96" s="3">
        <v>22</v>
      </c>
    </row>
    <row r="97" spans="1:4" x14ac:dyDescent="0.3">
      <c r="A97" s="3" t="s">
        <v>147</v>
      </c>
      <c r="B97" s="3" t="s">
        <v>194</v>
      </c>
      <c r="C97" s="3">
        <v>20</v>
      </c>
      <c r="D97" s="3">
        <v>22</v>
      </c>
    </row>
    <row r="98" spans="1:4" x14ac:dyDescent="0.3">
      <c r="A98" s="3" t="s">
        <v>151</v>
      </c>
      <c r="B98" s="3" t="s">
        <v>194</v>
      </c>
      <c r="C98" s="3">
        <v>22</v>
      </c>
      <c r="D98" s="3">
        <v>22</v>
      </c>
    </row>
    <row r="99" spans="1:4" x14ac:dyDescent="0.3">
      <c r="A99" s="3" t="s">
        <v>155</v>
      </c>
      <c r="B99" s="3" t="s">
        <v>194</v>
      </c>
      <c r="C99" s="3">
        <v>20</v>
      </c>
      <c r="D99" s="3">
        <v>22</v>
      </c>
    </row>
    <row r="100" spans="1:4" x14ac:dyDescent="0.3">
      <c r="A100" s="3" t="s">
        <v>163</v>
      </c>
      <c r="B100" s="3" t="s">
        <v>194</v>
      </c>
      <c r="C100" s="3">
        <v>19</v>
      </c>
      <c r="D100" s="3">
        <v>22</v>
      </c>
    </row>
    <row r="101" spans="1:4" x14ac:dyDescent="0.3">
      <c r="A101" s="3" t="s">
        <v>39</v>
      </c>
      <c r="B101" s="3" t="s">
        <v>195</v>
      </c>
      <c r="C101" s="3">
        <v>21</v>
      </c>
      <c r="D101" s="3">
        <v>22</v>
      </c>
    </row>
    <row r="102" spans="1:4" x14ac:dyDescent="0.3">
      <c r="A102" s="3" t="s">
        <v>44</v>
      </c>
      <c r="B102" s="3" t="s">
        <v>195</v>
      </c>
      <c r="C102" s="3">
        <v>21</v>
      </c>
      <c r="D102" s="3">
        <v>22</v>
      </c>
    </row>
    <row r="103" spans="1:4" x14ac:dyDescent="0.3">
      <c r="A103" s="3" t="s">
        <v>54</v>
      </c>
      <c r="B103" s="3" t="s">
        <v>195</v>
      </c>
      <c r="C103" s="3">
        <v>21</v>
      </c>
      <c r="D103" s="3">
        <v>22</v>
      </c>
    </row>
    <row r="104" spans="1:4" x14ac:dyDescent="0.3">
      <c r="A104" s="3" t="s">
        <v>59</v>
      </c>
      <c r="B104" s="3" t="s">
        <v>195</v>
      </c>
      <c r="C104" s="3">
        <v>19</v>
      </c>
      <c r="D104" s="3">
        <v>22</v>
      </c>
    </row>
    <row r="105" spans="1:4" x14ac:dyDescent="0.3">
      <c r="A105" s="3" t="s">
        <v>64</v>
      </c>
      <c r="B105" s="3" t="s">
        <v>195</v>
      </c>
      <c r="C105" s="3">
        <v>19</v>
      </c>
      <c r="D105" s="3">
        <v>22</v>
      </c>
    </row>
    <row r="106" spans="1:4" x14ac:dyDescent="0.3">
      <c r="A106" s="3" t="s">
        <v>69</v>
      </c>
      <c r="B106" s="3" t="s">
        <v>195</v>
      </c>
      <c r="C106" s="3">
        <v>19</v>
      </c>
      <c r="D106" s="3">
        <v>22</v>
      </c>
    </row>
    <row r="107" spans="1:4" x14ac:dyDescent="0.3">
      <c r="A107" s="3" t="s">
        <v>74</v>
      </c>
      <c r="B107" s="3" t="s">
        <v>195</v>
      </c>
      <c r="C107" s="3">
        <v>20</v>
      </c>
      <c r="D107" s="3">
        <v>22</v>
      </c>
    </row>
    <row r="108" spans="1:4" x14ac:dyDescent="0.3">
      <c r="A108" s="3" t="s">
        <v>79</v>
      </c>
      <c r="B108" s="3" t="s">
        <v>195</v>
      </c>
      <c r="C108" s="3">
        <v>20</v>
      </c>
      <c r="D108" s="3">
        <v>22</v>
      </c>
    </row>
    <row r="109" spans="1:4" x14ac:dyDescent="0.3">
      <c r="A109" s="3" t="s">
        <v>87</v>
      </c>
      <c r="B109" s="3" t="s">
        <v>195</v>
      </c>
      <c r="C109" s="3">
        <v>19</v>
      </c>
      <c r="D109" s="3">
        <v>22</v>
      </c>
    </row>
    <row r="110" spans="1:4" x14ac:dyDescent="0.3">
      <c r="A110" s="3" t="s">
        <v>91</v>
      </c>
      <c r="B110" s="3" t="s">
        <v>195</v>
      </c>
      <c r="C110" s="3">
        <v>21</v>
      </c>
      <c r="D110" s="3">
        <v>22</v>
      </c>
    </row>
    <row r="111" spans="1:4" x14ac:dyDescent="0.3">
      <c r="A111" s="3" t="s">
        <v>95</v>
      </c>
      <c r="B111" s="3" t="s">
        <v>195</v>
      </c>
      <c r="C111" s="3">
        <v>21</v>
      </c>
      <c r="D111" s="3">
        <v>22</v>
      </c>
    </row>
    <row r="112" spans="1:4" x14ac:dyDescent="0.3">
      <c r="A112" s="3" t="s">
        <v>99</v>
      </c>
      <c r="B112" s="3" t="s">
        <v>195</v>
      </c>
      <c r="C112" s="3">
        <v>22</v>
      </c>
      <c r="D112" s="3">
        <v>22</v>
      </c>
    </row>
    <row r="113" spans="1:4" x14ac:dyDescent="0.3">
      <c r="A113" s="3" t="s">
        <v>103</v>
      </c>
      <c r="B113" s="3" t="s">
        <v>195</v>
      </c>
      <c r="C113" s="3">
        <v>20</v>
      </c>
      <c r="D113" s="3">
        <v>22</v>
      </c>
    </row>
    <row r="114" spans="1:4" x14ac:dyDescent="0.3">
      <c r="A114" s="3" t="s">
        <v>107</v>
      </c>
      <c r="B114" s="3" t="s">
        <v>195</v>
      </c>
      <c r="C114" s="3">
        <v>22</v>
      </c>
      <c r="D114" s="3">
        <v>22</v>
      </c>
    </row>
    <row r="115" spans="1:4" x14ac:dyDescent="0.3">
      <c r="A115" s="3" t="s">
        <v>115</v>
      </c>
      <c r="B115" s="3" t="s">
        <v>195</v>
      </c>
      <c r="C115" s="3">
        <v>20</v>
      </c>
      <c r="D115" s="3">
        <v>22</v>
      </c>
    </row>
    <row r="116" spans="1:4" x14ac:dyDescent="0.3">
      <c r="A116" s="3" t="s">
        <v>119</v>
      </c>
      <c r="B116" s="3" t="s">
        <v>195</v>
      </c>
      <c r="C116" s="3">
        <v>21</v>
      </c>
      <c r="D116" s="3">
        <v>22</v>
      </c>
    </row>
    <row r="117" spans="1:4" x14ac:dyDescent="0.3">
      <c r="A117" s="3" t="s">
        <v>123</v>
      </c>
      <c r="B117" s="3" t="s">
        <v>195</v>
      </c>
      <c r="C117" s="3">
        <v>20</v>
      </c>
      <c r="D117" s="3">
        <v>22</v>
      </c>
    </row>
    <row r="118" spans="1:4" x14ac:dyDescent="0.3">
      <c r="A118" s="3" t="s">
        <v>127</v>
      </c>
      <c r="B118" s="3" t="s">
        <v>195</v>
      </c>
      <c r="C118" s="3">
        <v>20</v>
      </c>
      <c r="D118" s="3">
        <v>22</v>
      </c>
    </row>
    <row r="119" spans="1:4" x14ac:dyDescent="0.3">
      <c r="A119" s="3" t="s">
        <v>131</v>
      </c>
      <c r="B119" s="3" t="s">
        <v>195</v>
      </c>
      <c r="C119" s="3">
        <v>21</v>
      </c>
      <c r="D119" s="3">
        <v>22</v>
      </c>
    </row>
    <row r="120" spans="1:4" x14ac:dyDescent="0.3">
      <c r="A120" s="3" t="s">
        <v>135</v>
      </c>
      <c r="B120" s="3" t="s">
        <v>195</v>
      </c>
      <c r="C120" s="3">
        <v>20</v>
      </c>
      <c r="D120" s="3">
        <v>22</v>
      </c>
    </row>
    <row r="121" spans="1:4" x14ac:dyDescent="0.3">
      <c r="A121" s="3" t="s">
        <v>139</v>
      </c>
      <c r="B121" s="3" t="s">
        <v>195</v>
      </c>
      <c r="C121" s="3">
        <v>20</v>
      </c>
      <c r="D121" s="3">
        <v>22</v>
      </c>
    </row>
    <row r="122" spans="1:4" x14ac:dyDescent="0.3">
      <c r="A122" s="3" t="s">
        <v>143</v>
      </c>
      <c r="B122" s="3" t="s">
        <v>195</v>
      </c>
      <c r="C122" s="3">
        <v>20</v>
      </c>
      <c r="D122" s="3">
        <v>22</v>
      </c>
    </row>
    <row r="123" spans="1:4" x14ac:dyDescent="0.3">
      <c r="A123" s="3" t="s">
        <v>147</v>
      </c>
      <c r="B123" s="3" t="s">
        <v>195</v>
      </c>
      <c r="C123" s="3">
        <v>20</v>
      </c>
      <c r="D123" s="3">
        <v>22</v>
      </c>
    </row>
    <row r="124" spans="1:4" x14ac:dyDescent="0.3">
      <c r="A124" s="3" t="s">
        <v>151</v>
      </c>
      <c r="B124" s="3" t="s">
        <v>195</v>
      </c>
      <c r="C124" s="3">
        <v>20</v>
      </c>
      <c r="D124" s="3">
        <v>22</v>
      </c>
    </row>
    <row r="125" spans="1:4" x14ac:dyDescent="0.3">
      <c r="A125" s="3" t="s">
        <v>155</v>
      </c>
      <c r="B125" s="3" t="s">
        <v>195</v>
      </c>
      <c r="C125" s="3">
        <v>21</v>
      </c>
      <c r="D125" s="3">
        <v>22</v>
      </c>
    </row>
    <row r="126" spans="1:4" x14ac:dyDescent="0.3">
      <c r="A126" s="3" t="s">
        <v>163</v>
      </c>
      <c r="B126" s="3" t="s">
        <v>195</v>
      </c>
      <c r="C126" s="3">
        <v>22</v>
      </c>
      <c r="D126" s="3">
        <v>22</v>
      </c>
    </row>
    <row r="127" spans="1:4" x14ac:dyDescent="0.3">
      <c r="A127" s="3" t="s">
        <v>39</v>
      </c>
      <c r="B127" s="3" t="s">
        <v>196</v>
      </c>
      <c r="C127" s="3">
        <v>19</v>
      </c>
      <c r="D127" s="3">
        <v>22</v>
      </c>
    </row>
    <row r="128" spans="1:4" x14ac:dyDescent="0.3">
      <c r="A128" s="3" t="s">
        <v>44</v>
      </c>
      <c r="B128" s="3" t="s">
        <v>196</v>
      </c>
      <c r="C128" s="3">
        <v>22</v>
      </c>
      <c r="D128" s="3">
        <v>22</v>
      </c>
    </row>
    <row r="129" spans="1:4" x14ac:dyDescent="0.3">
      <c r="A129" s="3" t="s">
        <v>54</v>
      </c>
      <c r="B129" s="3" t="s">
        <v>196</v>
      </c>
      <c r="C129" s="3">
        <v>19</v>
      </c>
      <c r="D129" s="3">
        <v>22</v>
      </c>
    </row>
    <row r="130" spans="1:4" x14ac:dyDescent="0.3">
      <c r="A130" s="3" t="s">
        <v>59</v>
      </c>
      <c r="B130" s="3" t="s">
        <v>196</v>
      </c>
      <c r="C130" s="3">
        <v>19</v>
      </c>
      <c r="D130" s="3">
        <v>22</v>
      </c>
    </row>
    <row r="131" spans="1:4" x14ac:dyDescent="0.3">
      <c r="A131" s="3" t="s">
        <v>64</v>
      </c>
      <c r="B131" s="3" t="s">
        <v>196</v>
      </c>
      <c r="C131" s="3">
        <v>19</v>
      </c>
      <c r="D131" s="3">
        <v>22</v>
      </c>
    </row>
    <row r="132" spans="1:4" x14ac:dyDescent="0.3">
      <c r="A132" s="3" t="s">
        <v>69</v>
      </c>
      <c r="B132" s="3" t="s">
        <v>196</v>
      </c>
      <c r="C132" s="3">
        <v>19</v>
      </c>
      <c r="D132" s="3">
        <v>22</v>
      </c>
    </row>
    <row r="133" spans="1:4" x14ac:dyDescent="0.3">
      <c r="A133" s="3" t="s">
        <v>74</v>
      </c>
      <c r="B133" s="3" t="s">
        <v>196</v>
      </c>
      <c r="C133" s="3">
        <v>20</v>
      </c>
      <c r="D133" s="3">
        <v>22</v>
      </c>
    </row>
    <row r="134" spans="1:4" x14ac:dyDescent="0.3">
      <c r="A134" s="3" t="s">
        <v>79</v>
      </c>
      <c r="B134" s="3" t="s">
        <v>196</v>
      </c>
      <c r="C134" s="3">
        <v>20</v>
      </c>
      <c r="D134" s="3">
        <v>22</v>
      </c>
    </row>
    <row r="135" spans="1:4" x14ac:dyDescent="0.3">
      <c r="A135" s="3" t="s">
        <v>83</v>
      </c>
      <c r="B135" s="3" t="s">
        <v>196</v>
      </c>
      <c r="C135" s="3">
        <v>21</v>
      </c>
      <c r="D135" s="3">
        <v>22</v>
      </c>
    </row>
    <row r="136" spans="1:4" x14ac:dyDescent="0.3">
      <c r="A136" s="3" t="s">
        <v>87</v>
      </c>
      <c r="B136" s="3" t="s">
        <v>196</v>
      </c>
      <c r="C136" s="3">
        <v>20</v>
      </c>
      <c r="D136" s="3">
        <v>22</v>
      </c>
    </row>
    <row r="137" spans="1:4" x14ac:dyDescent="0.3">
      <c r="A137" s="3" t="s">
        <v>91</v>
      </c>
      <c r="B137" s="3" t="s">
        <v>196</v>
      </c>
      <c r="C137" s="3">
        <v>22</v>
      </c>
      <c r="D137" s="3">
        <v>22</v>
      </c>
    </row>
    <row r="138" spans="1:4" x14ac:dyDescent="0.3">
      <c r="A138" s="3" t="s">
        <v>95</v>
      </c>
      <c r="B138" s="3" t="s">
        <v>196</v>
      </c>
      <c r="C138" s="3">
        <v>22</v>
      </c>
      <c r="D138" s="3">
        <v>22</v>
      </c>
    </row>
    <row r="139" spans="1:4" x14ac:dyDescent="0.3">
      <c r="A139" s="3" t="s">
        <v>99</v>
      </c>
      <c r="B139" s="3" t="s">
        <v>196</v>
      </c>
      <c r="C139" s="3">
        <v>21</v>
      </c>
      <c r="D139" s="3">
        <v>22</v>
      </c>
    </row>
    <row r="140" spans="1:4" x14ac:dyDescent="0.3">
      <c r="A140" s="3" t="s">
        <v>103</v>
      </c>
      <c r="B140" s="3" t="s">
        <v>196</v>
      </c>
      <c r="C140" s="3">
        <v>20</v>
      </c>
      <c r="D140" s="3">
        <v>22</v>
      </c>
    </row>
    <row r="141" spans="1:4" x14ac:dyDescent="0.3">
      <c r="A141" s="3" t="s">
        <v>107</v>
      </c>
      <c r="B141" s="3" t="s">
        <v>196</v>
      </c>
      <c r="C141" s="3">
        <v>19</v>
      </c>
      <c r="D141" s="3">
        <v>22</v>
      </c>
    </row>
    <row r="142" spans="1:4" x14ac:dyDescent="0.3">
      <c r="A142" s="3" t="s">
        <v>115</v>
      </c>
      <c r="B142" s="3" t="s">
        <v>196</v>
      </c>
      <c r="C142" s="3">
        <v>20</v>
      </c>
      <c r="D142" s="3">
        <v>22</v>
      </c>
    </row>
    <row r="143" spans="1:4" x14ac:dyDescent="0.3">
      <c r="A143" s="3" t="s">
        <v>119</v>
      </c>
      <c r="B143" s="3" t="s">
        <v>196</v>
      </c>
      <c r="C143" s="3">
        <v>20</v>
      </c>
      <c r="D143" s="3">
        <v>22</v>
      </c>
    </row>
    <row r="144" spans="1:4" x14ac:dyDescent="0.3">
      <c r="A144" s="3" t="s">
        <v>123</v>
      </c>
      <c r="B144" s="3" t="s">
        <v>196</v>
      </c>
      <c r="C144" s="3">
        <v>22</v>
      </c>
      <c r="D144" s="3">
        <v>22</v>
      </c>
    </row>
    <row r="145" spans="1:4" x14ac:dyDescent="0.3">
      <c r="A145" s="3" t="s">
        <v>127</v>
      </c>
      <c r="B145" s="3" t="s">
        <v>196</v>
      </c>
      <c r="C145" s="3">
        <v>19</v>
      </c>
      <c r="D145" s="3">
        <v>22</v>
      </c>
    </row>
    <row r="146" spans="1:4" x14ac:dyDescent="0.3">
      <c r="A146" s="3" t="s">
        <v>131</v>
      </c>
      <c r="B146" s="3" t="s">
        <v>196</v>
      </c>
      <c r="C146" s="3">
        <v>20</v>
      </c>
      <c r="D146" s="3">
        <v>22</v>
      </c>
    </row>
    <row r="147" spans="1:4" x14ac:dyDescent="0.3">
      <c r="A147" s="3" t="s">
        <v>135</v>
      </c>
      <c r="B147" s="3" t="s">
        <v>196</v>
      </c>
      <c r="C147" s="3">
        <v>20</v>
      </c>
      <c r="D147" s="3">
        <v>22</v>
      </c>
    </row>
    <row r="148" spans="1:4" x14ac:dyDescent="0.3">
      <c r="A148" s="3" t="s">
        <v>139</v>
      </c>
      <c r="B148" s="3" t="s">
        <v>196</v>
      </c>
      <c r="C148" s="3">
        <v>20</v>
      </c>
      <c r="D148" s="3">
        <v>22</v>
      </c>
    </row>
    <row r="149" spans="1:4" x14ac:dyDescent="0.3">
      <c r="A149" s="3" t="s">
        <v>143</v>
      </c>
      <c r="B149" s="3" t="s">
        <v>196</v>
      </c>
      <c r="C149" s="3">
        <v>19</v>
      </c>
      <c r="D149" s="3">
        <v>22</v>
      </c>
    </row>
    <row r="150" spans="1:4" x14ac:dyDescent="0.3">
      <c r="A150" s="3" t="s">
        <v>147</v>
      </c>
      <c r="B150" s="3" t="s">
        <v>196</v>
      </c>
      <c r="C150" s="3">
        <v>19</v>
      </c>
      <c r="D150" s="3">
        <v>22</v>
      </c>
    </row>
    <row r="151" spans="1:4" x14ac:dyDescent="0.3">
      <c r="A151" s="3" t="s">
        <v>151</v>
      </c>
      <c r="B151" s="3" t="s">
        <v>196</v>
      </c>
      <c r="C151" s="3">
        <v>20</v>
      </c>
      <c r="D151" s="3">
        <v>22</v>
      </c>
    </row>
    <row r="152" spans="1:4" x14ac:dyDescent="0.3">
      <c r="A152" s="3" t="s">
        <v>155</v>
      </c>
      <c r="B152" s="3" t="s">
        <v>196</v>
      </c>
      <c r="C152" s="3">
        <v>22</v>
      </c>
      <c r="D152" s="3">
        <v>22</v>
      </c>
    </row>
    <row r="153" spans="1:4" x14ac:dyDescent="0.3">
      <c r="A153" s="3" t="s">
        <v>159</v>
      </c>
      <c r="B153" s="3" t="s">
        <v>196</v>
      </c>
      <c r="C153" s="3">
        <v>22</v>
      </c>
      <c r="D153" s="3">
        <v>22</v>
      </c>
    </row>
    <row r="154" spans="1:4" x14ac:dyDescent="0.3">
      <c r="A154" s="3" t="s">
        <v>163</v>
      </c>
      <c r="B154" s="3" t="s">
        <v>196</v>
      </c>
      <c r="C154" s="3">
        <v>20</v>
      </c>
      <c r="D154" s="3">
        <v>22</v>
      </c>
    </row>
    <row r="155" spans="1:4" x14ac:dyDescent="0.3">
      <c r="A155" s="3" t="s">
        <v>39</v>
      </c>
      <c r="B155" s="3" t="s">
        <v>197</v>
      </c>
      <c r="C155" s="3">
        <v>19</v>
      </c>
      <c r="D155" s="3">
        <v>22</v>
      </c>
    </row>
    <row r="156" spans="1:4" x14ac:dyDescent="0.3">
      <c r="A156" s="3" t="s">
        <v>44</v>
      </c>
      <c r="B156" s="3" t="s">
        <v>197</v>
      </c>
      <c r="C156" s="3">
        <v>19</v>
      </c>
      <c r="D156" s="3">
        <v>22</v>
      </c>
    </row>
    <row r="157" spans="1:4" x14ac:dyDescent="0.3">
      <c r="A157" s="3" t="s">
        <v>54</v>
      </c>
      <c r="B157" s="3" t="s">
        <v>197</v>
      </c>
      <c r="C157" s="3">
        <v>20</v>
      </c>
      <c r="D157" s="3">
        <v>22</v>
      </c>
    </row>
    <row r="158" spans="1:4" x14ac:dyDescent="0.3">
      <c r="A158" s="3" t="s">
        <v>59</v>
      </c>
      <c r="B158" s="3" t="s">
        <v>197</v>
      </c>
      <c r="C158" s="3">
        <v>21</v>
      </c>
      <c r="D158" s="3">
        <v>22</v>
      </c>
    </row>
    <row r="159" spans="1:4" x14ac:dyDescent="0.3">
      <c r="A159" s="3" t="s">
        <v>64</v>
      </c>
      <c r="B159" s="3" t="s">
        <v>197</v>
      </c>
      <c r="C159" s="3">
        <v>21</v>
      </c>
      <c r="D159" s="3">
        <v>22</v>
      </c>
    </row>
    <row r="160" spans="1:4" x14ac:dyDescent="0.3">
      <c r="A160" s="3" t="s">
        <v>69</v>
      </c>
      <c r="B160" s="3" t="s">
        <v>197</v>
      </c>
      <c r="C160" s="3">
        <v>20</v>
      </c>
      <c r="D160" s="3">
        <v>22</v>
      </c>
    </row>
    <row r="161" spans="1:4" x14ac:dyDescent="0.3">
      <c r="A161" s="3" t="s">
        <v>74</v>
      </c>
      <c r="B161" s="3" t="s">
        <v>197</v>
      </c>
      <c r="C161" s="3">
        <v>19</v>
      </c>
      <c r="D161" s="3">
        <v>22</v>
      </c>
    </row>
    <row r="162" spans="1:4" x14ac:dyDescent="0.3">
      <c r="A162" s="3" t="s">
        <v>79</v>
      </c>
      <c r="B162" s="3" t="s">
        <v>197</v>
      </c>
      <c r="C162" s="3">
        <v>21</v>
      </c>
      <c r="D162" s="3">
        <v>22</v>
      </c>
    </row>
    <row r="163" spans="1:4" x14ac:dyDescent="0.3">
      <c r="A163" s="3" t="s">
        <v>83</v>
      </c>
      <c r="B163" s="3" t="s">
        <v>197</v>
      </c>
      <c r="C163" s="3">
        <v>20</v>
      </c>
      <c r="D163" s="3">
        <v>22</v>
      </c>
    </row>
    <row r="164" spans="1:4" x14ac:dyDescent="0.3">
      <c r="A164" s="3" t="s">
        <v>87</v>
      </c>
      <c r="B164" s="3" t="s">
        <v>197</v>
      </c>
      <c r="C164" s="3">
        <v>22</v>
      </c>
      <c r="D164" s="3">
        <v>22</v>
      </c>
    </row>
    <row r="165" spans="1:4" x14ac:dyDescent="0.3">
      <c r="A165" s="3" t="s">
        <v>91</v>
      </c>
      <c r="B165" s="3" t="s">
        <v>197</v>
      </c>
      <c r="C165" s="3">
        <v>21</v>
      </c>
      <c r="D165" s="3">
        <v>22</v>
      </c>
    </row>
    <row r="166" spans="1:4" x14ac:dyDescent="0.3">
      <c r="A166" s="3" t="s">
        <v>95</v>
      </c>
      <c r="B166" s="3" t="s">
        <v>197</v>
      </c>
      <c r="C166" s="3">
        <v>20</v>
      </c>
      <c r="D166" s="3">
        <v>22</v>
      </c>
    </row>
    <row r="167" spans="1:4" x14ac:dyDescent="0.3">
      <c r="A167" s="3" t="s">
        <v>99</v>
      </c>
      <c r="B167" s="3" t="s">
        <v>197</v>
      </c>
      <c r="C167" s="3">
        <v>19</v>
      </c>
      <c r="D167" s="3">
        <v>22</v>
      </c>
    </row>
    <row r="168" spans="1:4" x14ac:dyDescent="0.3">
      <c r="A168" s="3" t="s">
        <v>103</v>
      </c>
      <c r="B168" s="3" t="s">
        <v>197</v>
      </c>
      <c r="C168" s="3">
        <v>19</v>
      </c>
      <c r="D168" s="3">
        <v>22</v>
      </c>
    </row>
    <row r="169" spans="1:4" x14ac:dyDescent="0.3">
      <c r="A169" s="3" t="s">
        <v>107</v>
      </c>
      <c r="B169" s="3" t="s">
        <v>197</v>
      </c>
      <c r="C169" s="3">
        <v>22</v>
      </c>
      <c r="D169" s="3">
        <v>22</v>
      </c>
    </row>
    <row r="170" spans="1:4" x14ac:dyDescent="0.3">
      <c r="A170" s="3" t="s">
        <v>115</v>
      </c>
      <c r="B170" s="3" t="s">
        <v>197</v>
      </c>
      <c r="C170" s="3">
        <v>21</v>
      </c>
      <c r="D170" s="3">
        <v>22</v>
      </c>
    </row>
    <row r="171" spans="1:4" x14ac:dyDescent="0.3">
      <c r="A171" s="3" t="s">
        <v>119</v>
      </c>
      <c r="B171" s="3" t="s">
        <v>197</v>
      </c>
      <c r="C171" s="3">
        <v>21</v>
      </c>
      <c r="D171" s="3">
        <v>22</v>
      </c>
    </row>
    <row r="172" spans="1:4" x14ac:dyDescent="0.3">
      <c r="A172" s="3" t="s">
        <v>123</v>
      </c>
      <c r="B172" s="3" t="s">
        <v>197</v>
      </c>
      <c r="C172" s="3">
        <v>19</v>
      </c>
      <c r="D172" s="3">
        <v>22</v>
      </c>
    </row>
    <row r="173" spans="1:4" x14ac:dyDescent="0.3">
      <c r="A173" s="3" t="s">
        <v>127</v>
      </c>
      <c r="B173" s="3" t="s">
        <v>197</v>
      </c>
      <c r="C173" s="3">
        <v>19</v>
      </c>
      <c r="D173" s="3">
        <v>22</v>
      </c>
    </row>
    <row r="174" spans="1:4" x14ac:dyDescent="0.3">
      <c r="A174" s="3" t="s">
        <v>131</v>
      </c>
      <c r="B174" s="3" t="s">
        <v>197</v>
      </c>
      <c r="C174" s="3">
        <v>19</v>
      </c>
      <c r="D174" s="3">
        <v>22</v>
      </c>
    </row>
    <row r="175" spans="1:4" x14ac:dyDescent="0.3">
      <c r="A175" s="3" t="s">
        <v>135</v>
      </c>
      <c r="B175" s="3" t="s">
        <v>197</v>
      </c>
      <c r="C175" s="3">
        <v>22</v>
      </c>
      <c r="D175" s="3">
        <v>22</v>
      </c>
    </row>
    <row r="176" spans="1:4" x14ac:dyDescent="0.3">
      <c r="A176" s="3" t="s">
        <v>139</v>
      </c>
      <c r="B176" s="3" t="s">
        <v>197</v>
      </c>
      <c r="C176" s="3">
        <v>19</v>
      </c>
      <c r="D176" s="3">
        <v>22</v>
      </c>
    </row>
    <row r="177" spans="1:4" x14ac:dyDescent="0.3">
      <c r="A177" s="3" t="s">
        <v>143</v>
      </c>
      <c r="B177" s="3" t="s">
        <v>197</v>
      </c>
      <c r="C177" s="3">
        <v>21</v>
      </c>
      <c r="D177" s="3">
        <v>22</v>
      </c>
    </row>
    <row r="178" spans="1:4" x14ac:dyDescent="0.3">
      <c r="A178" s="3" t="s">
        <v>147</v>
      </c>
      <c r="B178" s="3" t="s">
        <v>197</v>
      </c>
      <c r="C178" s="3">
        <v>21</v>
      </c>
      <c r="D178" s="3">
        <v>22</v>
      </c>
    </row>
    <row r="179" spans="1:4" x14ac:dyDescent="0.3">
      <c r="A179" s="3" t="s">
        <v>151</v>
      </c>
      <c r="B179" s="3" t="s">
        <v>197</v>
      </c>
      <c r="C179" s="3">
        <v>20</v>
      </c>
      <c r="D179" s="3">
        <v>22</v>
      </c>
    </row>
    <row r="180" spans="1:4" x14ac:dyDescent="0.3">
      <c r="A180" s="3" t="s">
        <v>155</v>
      </c>
      <c r="B180" s="3" t="s">
        <v>197</v>
      </c>
      <c r="C180" s="3">
        <v>19</v>
      </c>
      <c r="D180" s="3">
        <v>22</v>
      </c>
    </row>
    <row r="181" spans="1:4" x14ac:dyDescent="0.3">
      <c r="A181" s="3" t="s">
        <v>159</v>
      </c>
      <c r="B181" s="3" t="s">
        <v>197</v>
      </c>
      <c r="C181" s="3">
        <v>19</v>
      </c>
      <c r="D181" s="3">
        <v>22</v>
      </c>
    </row>
    <row r="182" spans="1:4" x14ac:dyDescent="0.3">
      <c r="A182" s="3" t="s">
        <v>163</v>
      </c>
      <c r="B182" s="3" t="s">
        <v>197</v>
      </c>
      <c r="C182" s="3">
        <v>22</v>
      </c>
      <c r="D182" s="3">
        <v>22</v>
      </c>
    </row>
    <row r="183" spans="1:4" x14ac:dyDescent="0.3">
      <c r="A183" s="3" t="s">
        <v>39</v>
      </c>
      <c r="B183" s="3" t="s">
        <v>198</v>
      </c>
      <c r="C183" s="3">
        <v>21</v>
      </c>
      <c r="D183" s="3">
        <v>22</v>
      </c>
    </row>
    <row r="184" spans="1:4" x14ac:dyDescent="0.3">
      <c r="A184" s="3" t="s">
        <v>44</v>
      </c>
      <c r="B184" s="3" t="s">
        <v>198</v>
      </c>
      <c r="C184" s="3">
        <v>19</v>
      </c>
      <c r="D184" s="3">
        <v>22</v>
      </c>
    </row>
    <row r="185" spans="1:4" x14ac:dyDescent="0.3">
      <c r="A185" s="3" t="s">
        <v>54</v>
      </c>
      <c r="B185" s="3" t="s">
        <v>198</v>
      </c>
      <c r="C185" s="3">
        <v>20</v>
      </c>
      <c r="D185" s="3">
        <v>22</v>
      </c>
    </row>
    <row r="186" spans="1:4" x14ac:dyDescent="0.3">
      <c r="A186" s="3" t="s">
        <v>59</v>
      </c>
      <c r="B186" s="3" t="s">
        <v>198</v>
      </c>
      <c r="C186" s="3">
        <v>21</v>
      </c>
      <c r="D186" s="3">
        <v>22</v>
      </c>
    </row>
    <row r="187" spans="1:4" x14ac:dyDescent="0.3">
      <c r="A187" s="3" t="s">
        <v>64</v>
      </c>
      <c r="B187" s="3" t="s">
        <v>198</v>
      </c>
      <c r="C187" s="3">
        <v>21</v>
      </c>
      <c r="D187" s="3">
        <v>22</v>
      </c>
    </row>
    <row r="188" spans="1:4" x14ac:dyDescent="0.3">
      <c r="A188" s="3" t="s">
        <v>69</v>
      </c>
      <c r="B188" s="3" t="s">
        <v>198</v>
      </c>
      <c r="C188" s="3">
        <v>19</v>
      </c>
      <c r="D188" s="3">
        <v>22</v>
      </c>
    </row>
    <row r="189" spans="1:4" x14ac:dyDescent="0.3">
      <c r="A189" s="3" t="s">
        <v>74</v>
      </c>
      <c r="B189" s="3" t="s">
        <v>198</v>
      </c>
      <c r="C189" s="3">
        <v>22</v>
      </c>
      <c r="D189" s="3">
        <v>22</v>
      </c>
    </row>
    <row r="190" spans="1:4" x14ac:dyDescent="0.3">
      <c r="A190" s="3" t="s">
        <v>79</v>
      </c>
      <c r="B190" s="3" t="s">
        <v>198</v>
      </c>
      <c r="C190" s="3">
        <v>19</v>
      </c>
      <c r="D190" s="3">
        <v>22</v>
      </c>
    </row>
    <row r="191" spans="1:4" x14ac:dyDescent="0.3">
      <c r="A191" s="3" t="s">
        <v>83</v>
      </c>
      <c r="B191" s="3" t="s">
        <v>198</v>
      </c>
      <c r="C191" s="3">
        <v>22</v>
      </c>
      <c r="D191" s="3">
        <v>22</v>
      </c>
    </row>
    <row r="192" spans="1:4" x14ac:dyDescent="0.3">
      <c r="A192" s="3" t="s">
        <v>87</v>
      </c>
      <c r="B192" s="3" t="s">
        <v>198</v>
      </c>
      <c r="C192" s="3">
        <v>19</v>
      </c>
      <c r="D192" s="3">
        <v>22</v>
      </c>
    </row>
    <row r="193" spans="1:4" x14ac:dyDescent="0.3">
      <c r="A193" s="3" t="s">
        <v>91</v>
      </c>
      <c r="B193" s="3" t="s">
        <v>198</v>
      </c>
      <c r="C193" s="3">
        <v>22</v>
      </c>
      <c r="D193" s="3">
        <v>22</v>
      </c>
    </row>
    <row r="194" spans="1:4" x14ac:dyDescent="0.3">
      <c r="A194" s="3" t="s">
        <v>95</v>
      </c>
      <c r="B194" s="3" t="s">
        <v>198</v>
      </c>
      <c r="C194" s="3">
        <v>19</v>
      </c>
      <c r="D194" s="3">
        <v>22</v>
      </c>
    </row>
    <row r="195" spans="1:4" x14ac:dyDescent="0.3">
      <c r="A195" s="3" t="s">
        <v>99</v>
      </c>
      <c r="B195" s="3" t="s">
        <v>198</v>
      </c>
      <c r="C195" s="3">
        <v>21</v>
      </c>
      <c r="D195" s="3">
        <v>22</v>
      </c>
    </row>
    <row r="196" spans="1:4" x14ac:dyDescent="0.3">
      <c r="A196" s="3" t="s">
        <v>103</v>
      </c>
      <c r="B196" s="3" t="s">
        <v>198</v>
      </c>
      <c r="C196" s="3">
        <v>21</v>
      </c>
      <c r="D196" s="3">
        <v>22</v>
      </c>
    </row>
    <row r="197" spans="1:4" x14ac:dyDescent="0.3">
      <c r="A197" s="3" t="s">
        <v>107</v>
      </c>
      <c r="B197" s="3" t="s">
        <v>198</v>
      </c>
      <c r="C197" s="3">
        <v>19</v>
      </c>
      <c r="D197" s="3">
        <v>22</v>
      </c>
    </row>
    <row r="198" spans="1:4" x14ac:dyDescent="0.3">
      <c r="A198" s="3" t="s">
        <v>115</v>
      </c>
      <c r="B198" s="3" t="s">
        <v>198</v>
      </c>
      <c r="C198" s="3">
        <v>19</v>
      </c>
      <c r="D198" s="3">
        <v>22</v>
      </c>
    </row>
    <row r="199" spans="1:4" x14ac:dyDescent="0.3">
      <c r="A199" s="3" t="s">
        <v>119</v>
      </c>
      <c r="B199" s="3" t="s">
        <v>198</v>
      </c>
      <c r="C199" s="3">
        <v>19</v>
      </c>
      <c r="D199" s="3">
        <v>22</v>
      </c>
    </row>
    <row r="200" spans="1:4" x14ac:dyDescent="0.3">
      <c r="A200" s="3" t="s">
        <v>123</v>
      </c>
      <c r="B200" s="3" t="s">
        <v>198</v>
      </c>
      <c r="C200" s="3">
        <v>19</v>
      </c>
      <c r="D200" s="3">
        <v>22</v>
      </c>
    </row>
    <row r="201" spans="1:4" x14ac:dyDescent="0.3">
      <c r="A201" s="3" t="s">
        <v>127</v>
      </c>
      <c r="B201" s="3" t="s">
        <v>198</v>
      </c>
      <c r="C201" s="3">
        <v>19</v>
      </c>
      <c r="D201" s="3">
        <v>22</v>
      </c>
    </row>
    <row r="202" spans="1:4" x14ac:dyDescent="0.3">
      <c r="A202" s="3" t="s">
        <v>131</v>
      </c>
      <c r="B202" s="3" t="s">
        <v>198</v>
      </c>
      <c r="C202" s="3">
        <v>20</v>
      </c>
      <c r="D202" s="3">
        <v>22</v>
      </c>
    </row>
    <row r="203" spans="1:4" x14ac:dyDescent="0.3">
      <c r="A203" s="3" t="s">
        <v>135</v>
      </c>
      <c r="B203" s="3" t="s">
        <v>198</v>
      </c>
      <c r="C203" s="3">
        <v>22</v>
      </c>
      <c r="D203" s="3">
        <v>22</v>
      </c>
    </row>
    <row r="204" spans="1:4" x14ac:dyDescent="0.3">
      <c r="A204" s="3" t="s">
        <v>139</v>
      </c>
      <c r="B204" s="3" t="s">
        <v>198</v>
      </c>
      <c r="C204" s="3">
        <v>21</v>
      </c>
      <c r="D204" s="3">
        <v>22</v>
      </c>
    </row>
    <row r="205" spans="1:4" x14ac:dyDescent="0.3">
      <c r="A205" s="3" t="s">
        <v>143</v>
      </c>
      <c r="B205" s="3" t="s">
        <v>198</v>
      </c>
      <c r="C205" s="3">
        <v>21</v>
      </c>
      <c r="D205" s="3">
        <v>22</v>
      </c>
    </row>
    <row r="206" spans="1:4" x14ac:dyDescent="0.3">
      <c r="A206" s="3" t="s">
        <v>147</v>
      </c>
      <c r="B206" s="3" t="s">
        <v>198</v>
      </c>
      <c r="C206" s="3">
        <v>22</v>
      </c>
      <c r="D206" s="3">
        <v>22</v>
      </c>
    </row>
    <row r="207" spans="1:4" x14ac:dyDescent="0.3">
      <c r="A207" s="3" t="s">
        <v>151</v>
      </c>
      <c r="B207" s="3" t="s">
        <v>198</v>
      </c>
      <c r="C207" s="3">
        <v>22</v>
      </c>
      <c r="D207" s="3">
        <v>22</v>
      </c>
    </row>
    <row r="208" spans="1:4" x14ac:dyDescent="0.3">
      <c r="A208" s="3" t="s">
        <v>155</v>
      </c>
      <c r="B208" s="3" t="s">
        <v>198</v>
      </c>
      <c r="C208" s="3">
        <v>22</v>
      </c>
      <c r="D208" s="3">
        <v>22</v>
      </c>
    </row>
    <row r="209" spans="1:4" x14ac:dyDescent="0.3">
      <c r="A209" s="3" t="s">
        <v>159</v>
      </c>
      <c r="B209" s="3" t="s">
        <v>198</v>
      </c>
      <c r="C209" s="3">
        <v>19</v>
      </c>
      <c r="D209" s="3">
        <v>22</v>
      </c>
    </row>
    <row r="210" spans="1:4" x14ac:dyDescent="0.3">
      <c r="A210" s="3" t="s">
        <v>163</v>
      </c>
      <c r="B210" s="3" t="s">
        <v>198</v>
      </c>
      <c r="C210" s="3">
        <v>19</v>
      </c>
      <c r="D210" s="3">
        <v>22</v>
      </c>
    </row>
    <row r="211" spans="1:4" x14ac:dyDescent="0.3">
      <c r="A211" s="3" t="s">
        <v>39</v>
      </c>
      <c r="B211" s="3" t="s">
        <v>199</v>
      </c>
      <c r="C211" s="3">
        <v>21</v>
      </c>
      <c r="D211" s="3">
        <v>22</v>
      </c>
    </row>
    <row r="212" spans="1:4" x14ac:dyDescent="0.3">
      <c r="A212" s="3" t="s">
        <v>44</v>
      </c>
      <c r="B212" s="3" t="s">
        <v>199</v>
      </c>
      <c r="C212" s="3">
        <v>19</v>
      </c>
      <c r="D212" s="3">
        <v>22</v>
      </c>
    </row>
    <row r="213" spans="1:4" x14ac:dyDescent="0.3">
      <c r="A213" s="3" t="s">
        <v>54</v>
      </c>
      <c r="B213" s="3" t="s">
        <v>199</v>
      </c>
      <c r="C213" s="3">
        <v>22</v>
      </c>
      <c r="D213" s="3">
        <v>22</v>
      </c>
    </row>
    <row r="214" spans="1:4" x14ac:dyDescent="0.3">
      <c r="A214" s="3" t="s">
        <v>59</v>
      </c>
      <c r="B214" s="3" t="s">
        <v>199</v>
      </c>
      <c r="C214" s="3">
        <v>19</v>
      </c>
      <c r="D214" s="3">
        <v>22</v>
      </c>
    </row>
    <row r="215" spans="1:4" x14ac:dyDescent="0.3">
      <c r="A215" s="3" t="s">
        <v>64</v>
      </c>
      <c r="B215" s="3" t="s">
        <v>199</v>
      </c>
      <c r="C215" s="3">
        <v>20</v>
      </c>
      <c r="D215" s="3">
        <v>22</v>
      </c>
    </row>
    <row r="216" spans="1:4" x14ac:dyDescent="0.3">
      <c r="A216" s="3" t="s">
        <v>69</v>
      </c>
      <c r="B216" s="3" t="s">
        <v>199</v>
      </c>
      <c r="C216" s="3">
        <v>19</v>
      </c>
      <c r="D216" s="3">
        <v>22</v>
      </c>
    </row>
    <row r="217" spans="1:4" x14ac:dyDescent="0.3">
      <c r="A217" s="3" t="s">
        <v>74</v>
      </c>
      <c r="B217" s="3" t="s">
        <v>199</v>
      </c>
      <c r="C217" s="3">
        <v>22</v>
      </c>
      <c r="D217" s="3">
        <v>22</v>
      </c>
    </row>
    <row r="218" spans="1:4" x14ac:dyDescent="0.3">
      <c r="A218" s="3" t="s">
        <v>79</v>
      </c>
      <c r="B218" s="3" t="s">
        <v>199</v>
      </c>
      <c r="C218" s="3">
        <v>22</v>
      </c>
      <c r="D218" s="3">
        <v>22</v>
      </c>
    </row>
    <row r="219" spans="1:4" x14ac:dyDescent="0.3">
      <c r="A219" s="3" t="s">
        <v>83</v>
      </c>
      <c r="B219" s="3" t="s">
        <v>199</v>
      </c>
      <c r="C219" s="3">
        <v>20</v>
      </c>
      <c r="D219" s="3">
        <v>22</v>
      </c>
    </row>
    <row r="220" spans="1:4" x14ac:dyDescent="0.3">
      <c r="A220" s="3" t="s">
        <v>87</v>
      </c>
      <c r="B220" s="3" t="s">
        <v>199</v>
      </c>
      <c r="C220" s="3">
        <v>19</v>
      </c>
      <c r="D220" s="3">
        <v>22</v>
      </c>
    </row>
    <row r="221" spans="1:4" x14ac:dyDescent="0.3">
      <c r="A221" s="3" t="s">
        <v>91</v>
      </c>
      <c r="B221" s="3" t="s">
        <v>199</v>
      </c>
      <c r="C221" s="3">
        <v>21</v>
      </c>
      <c r="D221" s="3">
        <v>22</v>
      </c>
    </row>
    <row r="222" spans="1:4" x14ac:dyDescent="0.3">
      <c r="A222" s="3" t="s">
        <v>95</v>
      </c>
      <c r="B222" s="3" t="s">
        <v>199</v>
      </c>
      <c r="C222" s="3">
        <v>21</v>
      </c>
      <c r="D222" s="3">
        <v>22</v>
      </c>
    </row>
    <row r="223" spans="1:4" x14ac:dyDescent="0.3">
      <c r="A223" s="3" t="s">
        <v>99</v>
      </c>
      <c r="B223" s="3" t="s">
        <v>199</v>
      </c>
      <c r="C223" s="3">
        <v>20</v>
      </c>
      <c r="D223" s="3">
        <v>22</v>
      </c>
    </row>
    <row r="224" spans="1:4" x14ac:dyDescent="0.3">
      <c r="A224" s="3" t="s">
        <v>103</v>
      </c>
      <c r="B224" s="3" t="s">
        <v>199</v>
      </c>
      <c r="C224" s="3">
        <v>20</v>
      </c>
      <c r="D224" s="3">
        <v>22</v>
      </c>
    </row>
    <row r="225" spans="1:4" x14ac:dyDescent="0.3">
      <c r="A225" s="3" t="s">
        <v>107</v>
      </c>
      <c r="B225" s="3" t="s">
        <v>199</v>
      </c>
      <c r="C225" s="3">
        <v>20</v>
      </c>
      <c r="D225" s="3">
        <v>22</v>
      </c>
    </row>
    <row r="226" spans="1:4" x14ac:dyDescent="0.3">
      <c r="A226" s="3" t="s">
        <v>115</v>
      </c>
      <c r="B226" s="3" t="s">
        <v>199</v>
      </c>
      <c r="C226" s="3">
        <v>21</v>
      </c>
      <c r="D226" s="3">
        <v>22</v>
      </c>
    </row>
    <row r="227" spans="1:4" x14ac:dyDescent="0.3">
      <c r="A227" s="3" t="s">
        <v>119</v>
      </c>
      <c r="B227" s="3" t="s">
        <v>199</v>
      </c>
      <c r="C227" s="3">
        <v>22</v>
      </c>
      <c r="D227" s="3">
        <v>22</v>
      </c>
    </row>
    <row r="228" spans="1:4" x14ac:dyDescent="0.3">
      <c r="A228" s="3" t="s">
        <v>123</v>
      </c>
      <c r="B228" s="3" t="s">
        <v>199</v>
      </c>
      <c r="C228" s="3">
        <v>22</v>
      </c>
      <c r="D228" s="3">
        <v>22</v>
      </c>
    </row>
    <row r="229" spans="1:4" x14ac:dyDescent="0.3">
      <c r="A229" s="3" t="s">
        <v>127</v>
      </c>
      <c r="B229" s="3" t="s">
        <v>199</v>
      </c>
      <c r="C229" s="3">
        <v>20</v>
      </c>
      <c r="D229" s="3">
        <v>22</v>
      </c>
    </row>
    <row r="230" spans="1:4" x14ac:dyDescent="0.3">
      <c r="A230" s="3" t="s">
        <v>131</v>
      </c>
      <c r="B230" s="3" t="s">
        <v>199</v>
      </c>
      <c r="C230" s="3">
        <v>21</v>
      </c>
      <c r="D230" s="3">
        <v>22</v>
      </c>
    </row>
    <row r="231" spans="1:4" x14ac:dyDescent="0.3">
      <c r="A231" s="3" t="s">
        <v>135</v>
      </c>
      <c r="B231" s="3" t="s">
        <v>199</v>
      </c>
      <c r="C231" s="3">
        <v>21</v>
      </c>
      <c r="D231" s="3">
        <v>22</v>
      </c>
    </row>
    <row r="232" spans="1:4" x14ac:dyDescent="0.3">
      <c r="A232" s="3" t="s">
        <v>139</v>
      </c>
      <c r="B232" s="3" t="s">
        <v>199</v>
      </c>
      <c r="C232" s="3">
        <v>20</v>
      </c>
      <c r="D232" s="3">
        <v>22</v>
      </c>
    </row>
    <row r="233" spans="1:4" x14ac:dyDescent="0.3">
      <c r="A233" s="3" t="s">
        <v>143</v>
      </c>
      <c r="B233" s="3" t="s">
        <v>199</v>
      </c>
      <c r="C233" s="3">
        <v>20</v>
      </c>
      <c r="D233" s="3">
        <v>22</v>
      </c>
    </row>
    <row r="234" spans="1:4" x14ac:dyDescent="0.3">
      <c r="A234" s="3" t="s">
        <v>147</v>
      </c>
      <c r="B234" s="3" t="s">
        <v>199</v>
      </c>
      <c r="C234" s="3">
        <v>22</v>
      </c>
      <c r="D234" s="3">
        <v>22</v>
      </c>
    </row>
    <row r="235" spans="1:4" x14ac:dyDescent="0.3">
      <c r="A235" s="3" t="s">
        <v>151</v>
      </c>
      <c r="B235" s="3" t="s">
        <v>199</v>
      </c>
      <c r="C235" s="3">
        <v>20</v>
      </c>
      <c r="D235" s="3">
        <v>22</v>
      </c>
    </row>
    <row r="236" spans="1:4" x14ac:dyDescent="0.3">
      <c r="A236" s="3" t="s">
        <v>155</v>
      </c>
      <c r="B236" s="3" t="s">
        <v>199</v>
      </c>
      <c r="C236" s="3">
        <v>20</v>
      </c>
      <c r="D236" s="3">
        <v>22</v>
      </c>
    </row>
    <row r="237" spans="1:4" x14ac:dyDescent="0.3">
      <c r="A237" s="3" t="s">
        <v>159</v>
      </c>
      <c r="B237" s="3" t="s">
        <v>199</v>
      </c>
      <c r="C237" s="3">
        <v>21</v>
      </c>
      <c r="D237" s="3">
        <v>22</v>
      </c>
    </row>
    <row r="238" spans="1:4" x14ac:dyDescent="0.3">
      <c r="A238" s="3" t="s">
        <v>163</v>
      </c>
      <c r="B238" s="3" t="s">
        <v>199</v>
      </c>
      <c r="C238" s="3">
        <v>20</v>
      </c>
      <c r="D238" s="3">
        <v>22</v>
      </c>
    </row>
    <row r="239" spans="1:4" x14ac:dyDescent="0.3">
      <c r="A239" s="3" t="s">
        <v>39</v>
      </c>
      <c r="B239" s="3" t="s">
        <v>200</v>
      </c>
      <c r="C239" s="3">
        <v>21</v>
      </c>
      <c r="D239" s="3">
        <v>22</v>
      </c>
    </row>
    <row r="240" spans="1:4" x14ac:dyDescent="0.3">
      <c r="A240" s="3" t="s">
        <v>44</v>
      </c>
      <c r="B240" s="3" t="s">
        <v>200</v>
      </c>
      <c r="C240" s="3">
        <v>20</v>
      </c>
      <c r="D240" s="3">
        <v>22</v>
      </c>
    </row>
    <row r="241" spans="1:4" x14ac:dyDescent="0.3">
      <c r="A241" s="3" t="s">
        <v>54</v>
      </c>
      <c r="B241" s="3" t="s">
        <v>200</v>
      </c>
      <c r="C241" s="3">
        <v>20</v>
      </c>
      <c r="D241" s="3">
        <v>22</v>
      </c>
    </row>
    <row r="242" spans="1:4" x14ac:dyDescent="0.3">
      <c r="A242" s="3" t="s">
        <v>59</v>
      </c>
      <c r="B242" s="3" t="s">
        <v>200</v>
      </c>
      <c r="C242" s="3">
        <v>20</v>
      </c>
      <c r="D242" s="3">
        <v>22</v>
      </c>
    </row>
    <row r="243" spans="1:4" x14ac:dyDescent="0.3">
      <c r="A243" s="3" t="s">
        <v>64</v>
      </c>
      <c r="B243" s="3" t="s">
        <v>200</v>
      </c>
      <c r="C243" s="3">
        <v>22</v>
      </c>
      <c r="D243" s="3">
        <v>22</v>
      </c>
    </row>
    <row r="244" spans="1:4" x14ac:dyDescent="0.3">
      <c r="A244" s="3" t="s">
        <v>69</v>
      </c>
      <c r="B244" s="3" t="s">
        <v>200</v>
      </c>
      <c r="C244" s="3">
        <v>21</v>
      </c>
      <c r="D244" s="3">
        <v>22</v>
      </c>
    </row>
    <row r="245" spans="1:4" x14ac:dyDescent="0.3">
      <c r="A245" s="3" t="s">
        <v>74</v>
      </c>
      <c r="B245" s="3" t="s">
        <v>200</v>
      </c>
      <c r="C245" s="3">
        <v>19</v>
      </c>
      <c r="D245" s="3">
        <v>22</v>
      </c>
    </row>
    <row r="246" spans="1:4" x14ac:dyDescent="0.3">
      <c r="A246" s="3" t="s">
        <v>79</v>
      </c>
      <c r="B246" s="3" t="s">
        <v>200</v>
      </c>
      <c r="C246" s="3">
        <v>19</v>
      </c>
      <c r="D246" s="3">
        <v>22</v>
      </c>
    </row>
    <row r="247" spans="1:4" x14ac:dyDescent="0.3">
      <c r="A247" s="3" t="s">
        <v>83</v>
      </c>
      <c r="B247" s="3" t="s">
        <v>200</v>
      </c>
      <c r="C247" s="3">
        <v>20</v>
      </c>
      <c r="D247" s="3">
        <v>22</v>
      </c>
    </row>
    <row r="248" spans="1:4" x14ac:dyDescent="0.3">
      <c r="A248" s="3" t="s">
        <v>87</v>
      </c>
      <c r="B248" s="3" t="s">
        <v>200</v>
      </c>
      <c r="C248" s="3">
        <v>20</v>
      </c>
      <c r="D248" s="3">
        <v>22</v>
      </c>
    </row>
    <row r="249" spans="1:4" x14ac:dyDescent="0.3">
      <c r="A249" s="3" t="s">
        <v>91</v>
      </c>
      <c r="B249" s="3" t="s">
        <v>200</v>
      </c>
      <c r="C249" s="3">
        <v>19</v>
      </c>
      <c r="D249" s="3">
        <v>22</v>
      </c>
    </row>
    <row r="250" spans="1:4" x14ac:dyDescent="0.3">
      <c r="A250" s="3" t="s">
        <v>95</v>
      </c>
      <c r="B250" s="3" t="s">
        <v>200</v>
      </c>
      <c r="C250" s="3">
        <v>22</v>
      </c>
      <c r="D250" s="3">
        <v>22</v>
      </c>
    </row>
    <row r="251" spans="1:4" x14ac:dyDescent="0.3">
      <c r="A251" s="3" t="s">
        <v>99</v>
      </c>
      <c r="B251" s="3" t="s">
        <v>200</v>
      </c>
      <c r="C251" s="3">
        <v>22</v>
      </c>
      <c r="D251" s="3">
        <v>22</v>
      </c>
    </row>
    <row r="252" spans="1:4" x14ac:dyDescent="0.3">
      <c r="A252" s="3" t="s">
        <v>103</v>
      </c>
      <c r="B252" s="3" t="s">
        <v>200</v>
      </c>
      <c r="C252" s="3">
        <v>20</v>
      </c>
      <c r="D252" s="3">
        <v>22</v>
      </c>
    </row>
    <row r="253" spans="1:4" x14ac:dyDescent="0.3">
      <c r="A253" s="3" t="s">
        <v>107</v>
      </c>
      <c r="B253" s="3" t="s">
        <v>200</v>
      </c>
      <c r="C253" s="3">
        <v>20</v>
      </c>
      <c r="D253" s="3">
        <v>22</v>
      </c>
    </row>
    <row r="254" spans="1:4" x14ac:dyDescent="0.3">
      <c r="A254" s="3" t="s">
        <v>115</v>
      </c>
      <c r="B254" s="3" t="s">
        <v>200</v>
      </c>
      <c r="C254" s="3">
        <v>22</v>
      </c>
      <c r="D254" s="3">
        <v>22</v>
      </c>
    </row>
    <row r="255" spans="1:4" x14ac:dyDescent="0.3">
      <c r="A255" s="3" t="s">
        <v>119</v>
      </c>
      <c r="B255" s="3" t="s">
        <v>200</v>
      </c>
      <c r="C255" s="3">
        <v>21</v>
      </c>
      <c r="D255" s="3">
        <v>22</v>
      </c>
    </row>
    <row r="256" spans="1:4" x14ac:dyDescent="0.3">
      <c r="A256" s="3" t="s">
        <v>123</v>
      </c>
      <c r="B256" s="3" t="s">
        <v>200</v>
      </c>
      <c r="C256" s="3">
        <v>22</v>
      </c>
      <c r="D256" s="3">
        <v>22</v>
      </c>
    </row>
    <row r="257" spans="1:4" x14ac:dyDescent="0.3">
      <c r="A257" s="3" t="s">
        <v>127</v>
      </c>
      <c r="B257" s="3" t="s">
        <v>200</v>
      </c>
      <c r="C257" s="3">
        <v>21</v>
      </c>
      <c r="D257" s="3">
        <v>22</v>
      </c>
    </row>
    <row r="258" spans="1:4" x14ac:dyDescent="0.3">
      <c r="A258" s="3" t="s">
        <v>131</v>
      </c>
      <c r="B258" s="3" t="s">
        <v>200</v>
      </c>
      <c r="C258" s="3">
        <v>22</v>
      </c>
      <c r="D258" s="3">
        <v>22</v>
      </c>
    </row>
    <row r="259" spans="1:4" x14ac:dyDescent="0.3">
      <c r="A259" s="3" t="s">
        <v>135</v>
      </c>
      <c r="B259" s="3" t="s">
        <v>200</v>
      </c>
      <c r="C259" s="3">
        <v>21</v>
      </c>
      <c r="D259" s="3">
        <v>22</v>
      </c>
    </row>
    <row r="260" spans="1:4" x14ac:dyDescent="0.3">
      <c r="A260" s="3" t="s">
        <v>139</v>
      </c>
      <c r="B260" s="3" t="s">
        <v>200</v>
      </c>
      <c r="C260" s="3">
        <v>19</v>
      </c>
      <c r="D260" s="3">
        <v>22</v>
      </c>
    </row>
    <row r="261" spans="1:4" x14ac:dyDescent="0.3">
      <c r="A261" s="3" t="s">
        <v>143</v>
      </c>
      <c r="B261" s="3" t="s">
        <v>200</v>
      </c>
      <c r="C261" s="3">
        <v>19</v>
      </c>
      <c r="D261" s="3">
        <v>22</v>
      </c>
    </row>
    <row r="262" spans="1:4" x14ac:dyDescent="0.3">
      <c r="A262" s="3" t="s">
        <v>147</v>
      </c>
      <c r="B262" s="3" t="s">
        <v>200</v>
      </c>
      <c r="C262" s="3">
        <v>20</v>
      </c>
      <c r="D262" s="3">
        <v>22</v>
      </c>
    </row>
    <row r="263" spans="1:4" x14ac:dyDescent="0.3">
      <c r="A263" s="3" t="s">
        <v>151</v>
      </c>
      <c r="B263" s="3" t="s">
        <v>200</v>
      </c>
      <c r="C263" s="3">
        <v>19</v>
      </c>
      <c r="D263" s="3">
        <v>22</v>
      </c>
    </row>
    <row r="264" spans="1:4" x14ac:dyDescent="0.3">
      <c r="A264" s="3" t="s">
        <v>155</v>
      </c>
      <c r="B264" s="3" t="s">
        <v>200</v>
      </c>
      <c r="C264" s="3">
        <v>20</v>
      </c>
      <c r="D264" s="3">
        <v>22</v>
      </c>
    </row>
    <row r="265" spans="1:4" x14ac:dyDescent="0.3">
      <c r="A265" s="3" t="s">
        <v>159</v>
      </c>
      <c r="B265" s="3" t="s">
        <v>200</v>
      </c>
      <c r="C265" s="3">
        <v>21</v>
      </c>
      <c r="D265" s="3">
        <v>22</v>
      </c>
    </row>
    <row r="266" spans="1:4" x14ac:dyDescent="0.3">
      <c r="A266" s="3" t="s">
        <v>163</v>
      </c>
      <c r="B266" s="3" t="s">
        <v>200</v>
      </c>
      <c r="C266" s="3">
        <v>21</v>
      </c>
      <c r="D266" s="3">
        <v>22</v>
      </c>
    </row>
    <row r="267" spans="1:4" x14ac:dyDescent="0.3">
      <c r="A267" s="3" t="s">
        <v>39</v>
      </c>
      <c r="B267" s="3" t="s">
        <v>201</v>
      </c>
      <c r="C267" s="3">
        <v>19</v>
      </c>
      <c r="D267" s="3">
        <v>22</v>
      </c>
    </row>
    <row r="268" spans="1:4" x14ac:dyDescent="0.3">
      <c r="A268" s="3" t="s">
        <v>44</v>
      </c>
      <c r="B268" s="3" t="s">
        <v>201</v>
      </c>
      <c r="C268" s="3">
        <v>20</v>
      </c>
      <c r="D268" s="3">
        <v>22</v>
      </c>
    </row>
    <row r="269" spans="1:4" x14ac:dyDescent="0.3">
      <c r="A269" s="3" t="s">
        <v>49</v>
      </c>
      <c r="B269" s="3" t="s">
        <v>201</v>
      </c>
      <c r="C269" s="3">
        <v>21</v>
      </c>
      <c r="D269" s="3">
        <v>22</v>
      </c>
    </row>
    <row r="270" spans="1:4" x14ac:dyDescent="0.3">
      <c r="A270" s="3" t="s">
        <v>59</v>
      </c>
      <c r="B270" s="3" t="s">
        <v>201</v>
      </c>
      <c r="C270" s="3">
        <v>22</v>
      </c>
      <c r="D270" s="3">
        <v>22</v>
      </c>
    </row>
    <row r="271" spans="1:4" x14ac:dyDescent="0.3">
      <c r="A271" s="3" t="s">
        <v>64</v>
      </c>
      <c r="B271" s="3" t="s">
        <v>201</v>
      </c>
      <c r="C271" s="3">
        <v>20</v>
      </c>
      <c r="D271" s="3">
        <v>22</v>
      </c>
    </row>
    <row r="272" spans="1:4" x14ac:dyDescent="0.3">
      <c r="A272" s="3" t="s">
        <v>69</v>
      </c>
      <c r="B272" s="3" t="s">
        <v>201</v>
      </c>
      <c r="C272" s="3">
        <v>19</v>
      </c>
      <c r="D272" s="3">
        <v>22</v>
      </c>
    </row>
    <row r="273" spans="1:4" x14ac:dyDescent="0.3">
      <c r="A273" s="3" t="s">
        <v>74</v>
      </c>
      <c r="B273" s="3" t="s">
        <v>201</v>
      </c>
      <c r="C273" s="3">
        <v>20</v>
      </c>
      <c r="D273" s="3">
        <v>22</v>
      </c>
    </row>
    <row r="274" spans="1:4" x14ac:dyDescent="0.3">
      <c r="A274" s="3" t="s">
        <v>79</v>
      </c>
      <c r="B274" s="3" t="s">
        <v>201</v>
      </c>
      <c r="C274" s="3">
        <v>20</v>
      </c>
      <c r="D274" s="3">
        <v>22</v>
      </c>
    </row>
    <row r="275" spans="1:4" x14ac:dyDescent="0.3">
      <c r="A275" s="3" t="s">
        <v>83</v>
      </c>
      <c r="B275" s="3" t="s">
        <v>201</v>
      </c>
      <c r="C275" s="3">
        <v>20</v>
      </c>
      <c r="D275" s="3">
        <v>22</v>
      </c>
    </row>
    <row r="276" spans="1:4" x14ac:dyDescent="0.3">
      <c r="A276" s="3" t="s">
        <v>87</v>
      </c>
      <c r="B276" s="3" t="s">
        <v>201</v>
      </c>
      <c r="C276" s="3">
        <v>19</v>
      </c>
      <c r="D276" s="3">
        <v>22</v>
      </c>
    </row>
    <row r="277" spans="1:4" x14ac:dyDescent="0.3">
      <c r="A277" s="3" t="s">
        <v>91</v>
      </c>
      <c r="B277" s="3" t="s">
        <v>201</v>
      </c>
      <c r="C277" s="3">
        <v>19</v>
      </c>
      <c r="D277" s="3">
        <v>22</v>
      </c>
    </row>
    <row r="278" spans="1:4" x14ac:dyDescent="0.3">
      <c r="A278" s="3" t="s">
        <v>95</v>
      </c>
      <c r="B278" s="3" t="s">
        <v>201</v>
      </c>
      <c r="C278" s="3">
        <v>22</v>
      </c>
      <c r="D278" s="3">
        <v>22</v>
      </c>
    </row>
    <row r="279" spans="1:4" x14ac:dyDescent="0.3">
      <c r="A279" s="3" t="s">
        <v>99</v>
      </c>
      <c r="B279" s="3" t="s">
        <v>201</v>
      </c>
      <c r="C279" s="3">
        <v>19</v>
      </c>
      <c r="D279" s="3">
        <v>22</v>
      </c>
    </row>
    <row r="280" spans="1:4" x14ac:dyDescent="0.3">
      <c r="A280" s="3" t="s">
        <v>103</v>
      </c>
      <c r="B280" s="3" t="s">
        <v>201</v>
      </c>
      <c r="C280" s="3">
        <v>21</v>
      </c>
      <c r="D280" s="3">
        <v>22</v>
      </c>
    </row>
    <row r="281" spans="1:4" x14ac:dyDescent="0.3">
      <c r="A281" s="3" t="s">
        <v>107</v>
      </c>
      <c r="B281" s="3" t="s">
        <v>201</v>
      </c>
      <c r="C281" s="3">
        <v>19</v>
      </c>
      <c r="D281" s="3">
        <v>22</v>
      </c>
    </row>
    <row r="282" spans="1:4" x14ac:dyDescent="0.3">
      <c r="A282" s="3" t="s">
        <v>111</v>
      </c>
      <c r="B282" s="3" t="s">
        <v>201</v>
      </c>
      <c r="C282" s="3">
        <v>20</v>
      </c>
      <c r="D282" s="3">
        <v>22</v>
      </c>
    </row>
    <row r="283" spans="1:4" x14ac:dyDescent="0.3">
      <c r="A283" s="3" t="s">
        <v>115</v>
      </c>
      <c r="B283" s="3" t="s">
        <v>201</v>
      </c>
      <c r="C283" s="3">
        <v>20</v>
      </c>
      <c r="D283" s="3">
        <v>22</v>
      </c>
    </row>
    <row r="284" spans="1:4" x14ac:dyDescent="0.3">
      <c r="A284" s="3" t="s">
        <v>119</v>
      </c>
      <c r="B284" s="3" t="s">
        <v>201</v>
      </c>
      <c r="C284" s="3">
        <v>22</v>
      </c>
      <c r="D284" s="3">
        <v>22</v>
      </c>
    </row>
    <row r="285" spans="1:4" x14ac:dyDescent="0.3">
      <c r="A285" s="3" t="s">
        <v>123</v>
      </c>
      <c r="B285" s="3" t="s">
        <v>201</v>
      </c>
      <c r="C285" s="3">
        <v>20</v>
      </c>
      <c r="D285" s="3">
        <v>22</v>
      </c>
    </row>
    <row r="286" spans="1:4" x14ac:dyDescent="0.3">
      <c r="A286" s="3" t="s">
        <v>127</v>
      </c>
      <c r="B286" s="3" t="s">
        <v>201</v>
      </c>
      <c r="C286" s="3">
        <v>20</v>
      </c>
      <c r="D286" s="3">
        <v>22</v>
      </c>
    </row>
    <row r="287" spans="1:4" x14ac:dyDescent="0.3">
      <c r="A287" s="3" t="s">
        <v>131</v>
      </c>
      <c r="B287" s="3" t="s">
        <v>201</v>
      </c>
      <c r="C287" s="3">
        <v>19</v>
      </c>
      <c r="D287" s="3">
        <v>22</v>
      </c>
    </row>
    <row r="288" spans="1:4" x14ac:dyDescent="0.3">
      <c r="A288" s="3" t="s">
        <v>135</v>
      </c>
      <c r="B288" s="3" t="s">
        <v>201</v>
      </c>
      <c r="C288" s="3">
        <v>22</v>
      </c>
      <c r="D288" s="3">
        <v>22</v>
      </c>
    </row>
    <row r="289" spans="1:4" x14ac:dyDescent="0.3">
      <c r="A289" s="3" t="s">
        <v>139</v>
      </c>
      <c r="B289" s="3" t="s">
        <v>201</v>
      </c>
      <c r="C289" s="3">
        <v>19</v>
      </c>
      <c r="D289" s="3">
        <v>22</v>
      </c>
    </row>
    <row r="290" spans="1:4" x14ac:dyDescent="0.3">
      <c r="A290" s="3" t="s">
        <v>143</v>
      </c>
      <c r="B290" s="3" t="s">
        <v>201</v>
      </c>
      <c r="C290" s="3">
        <v>20</v>
      </c>
      <c r="D290" s="3">
        <v>22</v>
      </c>
    </row>
    <row r="291" spans="1:4" x14ac:dyDescent="0.3">
      <c r="A291" s="3" t="s">
        <v>147</v>
      </c>
      <c r="B291" s="3" t="s">
        <v>201</v>
      </c>
      <c r="C291" s="3">
        <v>20</v>
      </c>
      <c r="D291" s="3">
        <v>22</v>
      </c>
    </row>
    <row r="292" spans="1:4" x14ac:dyDescent="0.3">
      <c r="A292" s="3" t="s">
        <v>151</v>
      </c>
      <c r="B292" s="3" t="s">
        <v>201</v>
      </c>
      <c r="C292" s="3">
        <v>20</v>
      </c>
      <c r="D292" s="3">
        <v>22</v>
      </c>
    </row>
    <row r="293" spans="1:4" x14ac:dyDescent="0.3">
      <c r="A293" s="3" t="s">
        <v>155</v>
      </c>
      <c r="B293" s="3" t="s">
        <v>201</v>
      </c>
      <c r="C293" s="3">
        <v>21</v>
      </c>
      <c r="D293" s="3">
        <v>22</v>
      </c>
    </row>
    <row r="294" spans="1:4" x14ac:dyDescent="0.3">
      <c r="A294" s="3" t="s">
        <v>159</v>
      </c>
      <c r="B294" s="3" t="s">
        <v>201</v>
      </c>
      <c r="C294" s="3">
        <v>20</v>
      </c>
      <c r="D294" s="3">
        <v>22</v>
      </c>
    </row>
    <row r="295" spans="1:4" x14ac:dyDescent="0.3">
      <c r="A295" s="3" t="s">
        <v>163</v>
      </c>
      <c r="B295" s="3" t="s">
        <v>201</v>
      </c>
      <c r="C295" s="3">
        <v>21</v>
      </c>
      <c r="D295" s="3">
        <v>22</v>
      </c>
    </row>
    <row r="296" spans="1:4" x14ac:dyDescent="0.3">
      <c r="A296" s="3" t="s">
        <v>39</v>
      </c>
      <c r="B296" s="3" t="s">
        <v>202</v>
      </c>
      <c r="C296" s="3">
        <v>18</v>
      </c>
      <c r="D296" s="3">
        <v>20</v>
      </c>
    </row>
    <row r="297" spans="1:4" x14ac:dyDescent="0.3">
      <c r="A297" s="3" t="s">
        <v>44</v>
      </c>
      <c r="B297" s="3" t="s">
        <v>202</v>
      </c>
      <c r="C297" s="3">
        <v>17</v>
      </c>
      <c r="D297" s="3">
        <v>20</v>
      </c>
    </row>
    <row r="298" spans="1:4" x14ac:dyDescent="0.3">
      <c r="A298" s="3" t="s">
        <v>49</v>
      </c>
      <c r="B298" s="3" t="s">
        <v>202</v>
      </c>
      <c r="C298" s="3">
        <v>20</v>
      </c>
      <c r="D298" s="3">
        <v>20</v>
      </c>
    </row>
    <row r="299" spans="1:4" x14ac:dyDescent="0.3">
      <c r="A299" s="3" t="s">
        <v>59</v>
      </c>
      <c r="B299" s="3" t="s">
        <v>202</v>
      </c>
      <c r="C299" s="3">
        <v>19</v>
      </c>
      <c r="D299" s="3">
        <v>20</v>
      </c>
    </row>
    <row r="300" spans="1:4" x14ac:dyDescent="0.3">
      <c r="A300" s="3" t="s">
        <v>64</v>
      </c>
      <c r="B300" s="3" t="s">
        <v>202</v>
      </c>
      <c r="C300" s="3">
        <v>18</v>
      </c>
      <c r="D300" s="3">
        <v>20</v>
      </c>
    </row>
    <row r="301" spans="1:4" x14ac:dyDescent="0.3">
      <c r="A301" s="3" t="s">
        <v>69</v>
      </c>
      <c r="B301" s="3" t="s">
        <v>202</v>
      </c>
      <c r="C301" s="3">
        <v>20</v>
      </c>
      <c r="D301" s="3">
        <v>20</v>
      </c>
    </row>
    <row r="302" spans="1:4" x14ac:dyDescent="0.3">
      <c r="A302" s="3" t="s">
        <v>74</v>
      </c>
      <c r="B302" s="3" t="s">
        <v>202</v>
      </c>
      <c r="C302" s="3">
        <v>20</v>
      </c>
      <c r="D302" s="3">
        <v>20</v>
      </c>
    </row>
    <row r="303" spans="1:4" x14ac:dyDescent="0.3">
      <c r="A303" s="3" t="s">
        <v>79</v>
      </c>
      <c r="B303" s="3" t="s">
        <v>202</v>
      </c>
      <c r="C303" s="3">
        <v>18</v>
      </c>
      <c r="D303" s="3">
        <v>20</v>
      </c>
    </row>
    <row r="304" spans="1:4" x14ac:dyDescent="0.3">
      <c r="A304" s="3" t="s">
        <v>83</v>
      </c>
      <c r="B304" s="3" t="s">
        <v>202</v>
      </c>
      <c r="C304" s="3">
        <v>17</v>
      </c>
      <c r="D304" s="3">
        <v>20</v>
      </c>
    </row>
    <row r="305" spans="1:4" x14ac:dyDescent="0.3">
      <c r="A305" s="3" t="s">
        <v>87</v>
      </c>
      <c r="B305" s="3" t="s">
        <v>202</v>
      </c>
      <c r="C305" s="3">
        <v>19</v>
      </c>
      <c r="D305" s="3">
        <v>20</v>
      </c>
    </row>
    <row r="306" spans="1:4" x14ac:dyDescent="0.3">
      <c r="A306" s="3" t="s">
        <v>91</v>
      </c>
      <c r="B306" s="3" t="s">
        <v>202</v>
      </c>
      <c r="C306" s="3">
        <v>19</v>
      </c>
      <c r="D306" s="3">
        <v>20</v>
      </c>
    </row>
    <row r="307" spans="1:4" x14ac:dyDescent="0.3">
      <c r="A307" s="3" t="s">
        <v>95</v>
      </c>
      <c r="B307" s="3" t="s">
        <v>202</v>
      </c>
      <c r="C307" s="3">
        <v>20</v>
      </c>
      <c r="D307" s="3">
        <v>20</v>
      </c>
    </row>
    <row r="308" spans="1:4" x14ac:dyDescent="0.3">
      <c r="A308" s="3" t="s">
        <v>99</v>
      </c>
      <c r="B308" s="3" t="s">
        <v>202</v>
      </c>
      <c r="C308" s="3">
        <v>19</v>
      </c>
      <c r="D308" s="3">
        <v>20</v>
      </c>
    </row>
    <row r="309" spans="1:4" x14ac:dyDescent="0.3">
      <c r="A309" s="3" t="s">
        <v>107</v>
      </c>
      <c r="B309" s="3" t="s">
        <v>202</v>
      </c>
      <c r="C309" s="3">
        <v>18</v>
      </c>
      <c r="D309" s="3">
        <v>20</v>
      </c>
    </row>
    <row r="310" spans="1:4" x14ac:dyDescent="0.3">
      <c r="A310" s="3" t="s">
        <v>111</v>
      </c>
      <c r="B310" s="3" t="s">
        <v>202</v>
      </c>
      <c r="C310" s="3">
        <v>18</v>
      </c>
      <c r="D310" s="3">
        <v>20</v>
      </c>
    </row>
    <row r="311" spans="1:4" x14ac:dyDescent="0.3">
      <c r="A311" s="3" t="s">
        <v>115</v>
      </c>
      <c r="B311" s="3" t="s">
        <v>202</v>
      </c>
      <c r="C311" s="3">
        <v>18</v>
      </c>
      <c r="D311" s="3">
        <v>20</v>
      </c>
    </row>
    <row r="312" spans="1:4" x14ac:dyDescent="0.3">
      <c r="A312" s="3" t="s">
        <v>119</v>
      </c>
      <c r="B312" s="3" t="s">
        <v>202</v>
      </c>
      <c r="C312" s="3">
        <v>18</v>
      </c>
      <c r="D312" s="3">
        <v>20</v>
      </c>
    </row>
    <row r="313" spans="1:4" x14ac:dyDescent="0.3">
      <c r="A313" s="3" t="s">
        <v>123</v>
      </c>
      <c r="B313" s="3" t="s">
        <v>202</v>
      </c>
      <c r="C313" s="3">
        <v>18</v>
      </c>
      <c r="D313" s="3">
        <v>20</v>
      </c>
    </row>
    <row r="314" spans="1:4" x14ac:dyDescent="0.3">
      <c r="A314" s="3" t="s">
        <v>127</v>
      </c>
      <c r="B314" s="3" t="s">
        <v>202</v>
      </c>
      <c r="C314" s="3">
        <v>19</v>
      </c>
      <c r="D314" s="3">
        <v>20</v>
      </c>
    </row>
    <row r="315" spans="1:4" x14ac:dyDescent="0.3">
      <c r="A315" s="3" t="s">
        <v>131</v>
      </c>
      <c r="B315" s="3" t="s">
        <v>202</v>
      </c>
      <c r="C315" s="3">
        <v>17</v>
      </c>
      <c r="D315" s="3">
        <v>20</v>
      </c>
    </row>
    <row r="316" spans="1:4" x14ac:dyDescent="0.3">
      <c r="A316" s="3" t="s">
        <v>135</v>
      </c>
      <c r="B316" s="3" t="s">
        <v>202</v>
      </c>
      <c r="C316" s="3">
        <v>19</v>
      </c>
      <c r="D316" s="3">
        <v>20</v>
      </c>
    </row>
    <row r="317" spans="1:4" x14ac:dyDescent="0.3">
      <c r="A317" s="3" t="s">
        <v>139</v>
      </c>
      <c r="B317" s="3" t="s">
        <v>202</v>
      </c>
      <c r="C317" s="3">
        <v>19</v>
      </c>
      <c r="D317" s="3">
        <v>20</v>
      </c>
    </row>
    <row r="318" spans="1:4" x14ac:dyDescent="0.3">
      <c r="A318" s="3" t="s">
        <v>143</v>
      </c>
      <c r="B318" s="3" t="s">
        <v>202</v>
      </c>
      <c r="C318" s="3">
        <v>19</v>
      </c>
      <c r="D318" s="3">
        <v>20</v>
      </c>
    </row>
    <row r="319" spans="1:4" x14ac:dyDescent="0.3">
      <c r="A319" s="3" t="s">
        <v>147</v>
      </c>
      <c r="B319" s="3" t="s">
        <v>202</v>
      </c>
      <c r="C319" s="3">
        <v>17</v>
      </c>
      <c r="D319" s="3">
        <v>20</v>
      </c>
    </row>
    <row r="320" spans="1:4" x14ac:dyDescent="0.3">
      <c r="A320" s="3" t="s">
        <v>151</v>
      </c>
      <c r="B320" s="3" t="s">
        <v>202</v>
      </c>
      <c r="C320" s="3">
        <v>19</v>
      </c>
      <c r="D320" s="3">
        <v>20</v>
      </c>
    </row>
    <row r="321" spans="1:4" x14ac:dyDescent="0.3">
      <c r="A321" s="3" t="s">
        <v>155</v>
      </c>
      <c r="B321" s="3" t="s">
        <v>202</v>
      </c>
      <c r="C321" s="3">
        <v>17</v>
      </c>
      <c r="D321" s="3">
        <v>20</v>
      </c>
    </row>
    <row r="322" spans="1:4" x14ac:dyDescent="0.3">
      <c r="A322" s="3" t="s">
        <v>159</v>
      </c>
      <c r="B322" s="3" t="s">
        <v>202</v>
      </c>
      <c r="C322" s="3">
        <v>17</v>
      </c>
      <c r="D322" s="3">
        <v>20</v>
      </c>
    </row>
    <row r="323" spans="1:4" x14ac:dyDescent="0.3">
      <c r="A323" s="3" t="s">
        <v>163</v>
      </c>
      <c r="B323" s="3" t="s">
        <v>202</v>
      </c>
      <c r="C323" s="3">
        <v>20</v>
      </c>
      <c r="D323" s="3">
        <v>20</v>
      </c>
    </row>
    <row r="324" spans="1:4" x14ac:dyDescent="0.3">
      <c r="A324" s="3" t="s">
        <v>39</v>
      </c>
      <c r="B324" s="3" t="s">
        <v>203</v>
      </c>
      <c r="C324" s="3">
        <v>21</v>
      </c>
      <c r="D324" s="3">
        <v>22</v>
      </c>
    </row>
    <row r="325" spans="1:4" x14ac:dyDescent="0.3">
      <c r="A325" s="3" t="s">
        <v>44</v>
      </c>
      <c r="B325" s="3" t="s">
        <v>203</v>
      </c>
      <c r="C325" s="3">
        <v>22</v>
      </c>
      <c r="D325" s="3">
        <v>22</v>
      </c>
    </row>
    <row r="326" spans="1:4" x14ac:dyDescent="0.3">
      <c r="A326" s="3" t="s">
        <v>49</v>
      </c>
      <c r="B326" s="3" t="s">
        <v>203</v>
      </c>
      <c r="C326" s="3">
        <v>20</v>
      </c>
      <c r="D326" s="3">
        <v>22</v>
      </c>
    </row>
    <row r="327" spans="1:4" x14ac:dyDescent="0.3">
      <c r="A327" s="3" t="s">
        <v>59</v>
      </c>
      <c r="B327" s="3" t="s">
        <v>203</v>
      </c>
      <c r="C327" s="3">
        <v>22</v>
      </c>
      <c r="D327" s="3">
        <v>22</v>
      </c>
    </row>
    <row r="328" spans="1:4" x14ac:dyDescent="0.3">
      <c r="A328" s="3" t="s">
        <v>64</v>
      </c>
      <c r="B328" s="3" t="s">
        <v>203</v>
      </c>
      <c r="C328" s="3">
        <v>19</v>
      </c>
      <c r="D328" s="3">
        <v>22</v>
      </c>
    </row>
    <row r="329" spans="1:4" x14ac:dyDescent="0.3">
      <c r="A329" s="3" t="s">
        <v>69</v>
      </c>
      <c r="B329" s="3" t="s">
        <v>203</v>
      </c>
      <c r="C329" s="3">
        <v>20</v>
      </c>
      <c r="D329" s="3">
        <v>22</v>
      </c>
    </row>
    <row r="330" spans="1:4" x14ac:dyDescent="0.3">
      <c r="A330" s="3" t="s">
        <v>74</v>
      </c>
      <c r="B330" s="3" t="s">
        <v>203</v>
      </c>
      <c r="C330" s="3">
        <v>19</v>
      </c>
      <c r="D330" s="3">
        <v>22</v>
      </c>
    </row>
    <row r="331" spans="1:4" x14ac:dyDescent="0.3">
      <c r="A331" s="3" t="s">
        <v>79</v>
      </c>
      <c r="B331" s="3" t="s">
        <v>203</v>
      </c>
      <c r="C331" s="3">
        <v>22</v>
      </c>
      <c r="D331" s="3">
        <v>22</v>
      </c>
    </row>
    <row r="332" spans="1:4" x14ac:dyDescent="0.3">
      <c r="A332" s="3" t="s">
        <v>83</v>
      </c>
      <c r="B332" s="3" t="s">
        <v>203</v>
      </c>
      <c r="C332" s="3">
        <v>19</v>
      </c>
      <c r="D332" s="3">
        <v>22</v>
      </c>
    </row>
    <row r="333" spans="1:4" x14ac:dyDescent="0.3">
      <c r="A333" s="3" t="s">
        <v>87</v>
      </c>
      <c r="B333" s="3" t="s">
        <v>203</v>
      </c>
      <c r="C333" s="3">
        <v>20</v>
      </c>
      <c r="D333" s="3">
        <v>22</v>
      </c>
    </row>
    <row r="334" spans="1:4" x14ac:dyDescent="0.3">
      <c r="A334" s="3" t="s">
        <v>91</v>
      </c>
      <c r="B334" s="3" t="s">
        <v>203</v>
      </c>
      <c r="C334" s="3">
        <v>21</v>
      </c>
      <c r="D334" s="3">
        <v>22</v>
      </c>
    </row>
    <row r="335" spans="1:4" x14ac:dyDescent="0.3">
      <c r="A335" s="3" t="s">
        <v>95</v>
      </c>
      <c r="B335" s="3" t="s">
        <v>203</v>
      </c>
      <c r="C335" s="3">
        <v>20</v>
      </c>
      <c r="D335" s="3">
        <v>22</v>
      </c>
    </row>
    <row r="336" spans="1:4" x14ac:dyDescent="0.3">
      <c r="A336" s="3" t="s">
        <v>99</v>
      </c>
      <c r="B336" s="3" t="s">
        <v>203</v>
      </c>
      <c r="C336" s="3">
        <v>22</v>
      </c>
      <c r="D336" s="3">
        <v>22</v>
      </c>
    </row>
    <row r="337" spans="1:4" x14ac:dyDescent="0.3">
      <c r="A337" s="3" t="s">
        <v>107</v>
      </c>
      <c r="B337" s="3" t="s">
        <v>203</v>
      </c>
      <c r="C337" s="3">
        <v>20</v>
      </c>
      <c r="D337" s="3">
        <v>22</v>
      </c>
    </row>
    <row r="338" spans="1:4" x14ac:dyDescent="0.3">
      <c r="A338" s="3" t="s">
        <v>111</v>
      </c>
      <c r="B338" s="3" t="s">
        <v>203</v>
      </c>
      <c r="C338" s="3">
        <v>22</v>
      </c>
      <c r="D338" s="3">
        <v>22</v>
      </c>
    </row>
    <row r="339" spans="1:4" x14ac:dyDescent="0.3">
      <c r="A339" s="3" t="s">
        <v>115</v>
      </c>
      <c r="B339" s="3" t="s">
        <v>203</v>
      </c>
      <c r="C339" s="3">
        <v>22</v>
      </c>
      <c r="D339" s="3">
        <v>22</v>
      </c>
    </row>
    <row r="340" spans="1:4" x14ac:dyDescent="0.3">
      <c r="A340" s="3" t="s">
        <v>119</v>
      </c>
      <c r="B340" s="3" t="s">
        <v>203</v>
      </c>
      <c r="C340" s="3">
        <v>19</v>
      </c>
      <c r="D340" s="3">
        <v>22</v>
      </c>
    </row>
    <row r="341" spans="1:4" x14ac:dyDescent="0.3">
      <c r="A341" s="3" t="s">
        <v>123</v>
      </c>
      <c r="B341" s="3" t="s">
        <v>203</v>
      </c>
      <c r="C341" s="3">
        <v>20</v>
      </c>
      <c r="D341" s="3">
        <v>22</v>
      </c>
    </row>
    <row r="342" spans="1:4" x14ac:dyDescent="0.3">
      <c r="A342" s="3" t="s">
        <v>127</v>
      </c>
      <c r="B342" s="3" t="s">
        <v>203</v>
      </c>
      <c r="C342" s="3">
        <v>22</v>
      </c>
      <c r="D342" s="3">
        <v>22</v>
      </c>
    </row>
    <row r="343" spans="1:4" x14ac:dyDescent="0.3">
      <c r="A343" s="3" t="s">
        <v>131</v>
      </c>
      <c r="B343" s="3" t="s">
        <v>203</v>
      </c>
      <c r="C343" s="3">
        <v>21</v>
      </c>
      <c r="D343" s="3">
        <v>22</v>
      </c>
    </row>
    <row r="344" spans="1:4" x14ac:dyDescent="0.3">
      <c r="A344" s="3" t="s">
        <v>135</v>
      </c>
      <c r="B344" s="3" t="s">
        <v>203</v>
      </c>
      <c r="C344" s="3">
        <v>20</v>
      </c>
      <c r="D344" s="3">
        <v>22</v>
      </c>
    </row>
    <row r="345" spans="1:4" x14ac:dyDescent="0.3">
      <c r="A345" s="3" t="s">
        <v>139</v>
      </c>
      <c r="B345" s="3" t="s">
        <v>203</v>
      </c>
      <c r="C345" s="3">
        <v>20</v>
      </c>
      <c r="D345" s="3">
        <v>22</v>
      </c>
    </row>
    <row r="346" spans="1:4" x14ac:dyDescent="0.3">
      <c r="A346" s="3" t="s">
        <v>143</v>
      </c>
      <c r="B346" s="3" t="s">
        <v>203</v>
      </c>
      <c r="C346" s="3">
        <v>21</v>
      </c>
      <c r="D346" s="3">
        <v>22</v>
      </c>
    </row>
    <row r="347" spans="1:4" x14ac:dyDescent="0.3">
      <c r="A347" s="3" t="s">
        <v>147</v>
      </c>
      <c r="B347" s="3" t="s">
        <v>203</v>
      </c>
      <c r="C347" s="3">
        <v>21</v>
      </c>
      <c r="D347" s="3">
        <v>22</v>
      </c>
    </row>
    <row r="348" spans="1:4" x14ac:dyDescent="0.3">
      <c r="A348" s="3" t="s">
        <v>151</v>
      </c>
      <c r="B348" s="3" t="s">
        <v>203</v>
      </c>
      <c r="C348" s="3">
        <v>20</v>
      </c>
      <c r="D348" s="3">
        <v>22</v>
      </c>
    </row>
    <row r="349" spans="1:4" x14ac:dyDescent="0.3">
      <c r="A349" s="3" t="s">
        <v>155</v>
      </c>
      <c r="B349" s="3" t="s">
        <v>203</v>
      </c>
      <c r="C349" s="3">
        <v>21</v>
      </c>
      <c r="D349" s="3">
        <v>22</v>
      </c>
    </row>
    <row r="350" spans="1:4" x14ac:dyDescent="0.3">
      <c r="A350" s="3" t="s">
        <v>159</v>
      </c>
      <c r="B350" s="3" t="s">
        <v>203</v>
      </c>
      <c r="C350" s="3">
        <v>20</v>
      </c>
      <c r="D350" s="3">
        <v>22</v>
      </c>
    </row>
    <row r="351" spans="1:4" x14ac:dyDescent="0.3">
      <c r="A351" s="3" t="s">
        <v>163</v>
      </c>
      <c r="B351" s="3" t="s">
        <v>203</v>
      </c>
      <c r="C351" s="3">
        <v>20</v>
      </c>
      <c r="D351" s="3">
        <v>22</v>
      </c>
    </row>
    <row r="352" spans="1:4" x14ac:dyDescent="0.3">
      <c r="A352" s="3" t="s">
        <v>39</v>
      </c>
      <c r="B352" s="3" t="s">
        <v>204</v>
      </c>
      <c r="C352" s="3">
        <v>22</v>
      </c>
      <c r="D352" s="3">
        <v>22</v>
      </c>
    </row>
    <row r="353" spans="1:4" x14ac:dyDescent="0.3">
      <c r="A353" s="3" t="s">
        <v>44</v>
      </c>
      <c r="B353" s="3" t="s">
        <v>204</v>
      </c>
      <c r="C353" s="3">
        <v>20</v>
      </c>
      <c r="D353" s="3">
        <v>22</v>
      </c>
    </row>
    <row r="354" spans="1:4" x14ac:dyDescent="0.3">
      <c r="A354" s="3" t="s">
        <v>49</v>
      </c>
      <c r="B354" s="3" t="s">
        <v>204</v>
      </c>
      <c r="C354" s="3">
        <v>22</v>
      </c>
      <c r="D354" s="3">
        <v>22</v>
      </c>
    </row>
    <row r="355" spans="1:4" x14ac:dyDescent="0.3">
      <c r="A355" s="3" t="s">
        <v>59</v>
      </c>
      <c r="B355" s="3" t="s">
        <v>204</v>
      </c>
      <c r="C355" s="3">
        <v>19</v>
      </c>
      <c r="D355" s="3">
        <v>22</v>
      </c>
    </row>
    <row r="356" spans="1:4" x14ac:dyDescent="0.3">
      <c r="A356" s="3" t="s">
        <v>64</v>
      </c>
      <c r="B356" s="3" t="s">
        <v>204</v>
      </c>
      <c r="C356" s="3">
        <v>19</v>
      </c>
      <c r="D356" s="3">
        <v>22</v>
      </c>
    </row>
    <row r="357" spans="1:4" x14ac:dyDescent="0.3">
      <c r="A357" s="3" t="s">
        <v>69</v>
      </c>
      <c r="B357" s="3" t="s">
        <v>204</v>
      </c>
      <c r="C357" s="3">
        <v>21</v>
      </c>
      <c r="D357" s="3">
        <v>22</v>
      </c>
    </row>
    <row r="358" spans="1:4" x14ac:dyDescent="0.3">
      <c r="A358" s="3" t="s">
        <v>74</v>
      </c>
      <c r="B358" s="3" t="s">
        <v>204</v>
      </c>
      <c r="C358" s="3">
        <v>19</v>
      </c>
      <c r="D358" s="3">
        <v>22</v>
      </c>
    </row>
    <row r="359" spans="1:4" x14ac:dyDescent="0.3">
      <c r="A359" s="3" t="s">
        <v>79</v>
      </c>
      <c r="B359" s="3" t="s">
        <v>204</v>
      </c>
      <c r="C359" s="3">
        <v>19</v>
      </c>
      <c r="D359" s="3">
        <v>22</v>
      </c>
    </row>
    <row r="360" spans="1:4" x14ac:dyDescent="0.3">
      <c r="A360" s="3" t="s">
        <v>83</v>
      </c>
      <c r="B360" s="3" t="s">
        <v>204</v>
      </c>
      <c r="C360" s="3">
        <v>21</v>
      </c>
      <c r="D360" s="3">
        <v>22</v>
      </c>
    </row>
    <row r="361" spans="1:4" x14ac:dyDescent="0.3">
      <c r="A361" s="3" t="s">
        <v>87</v>
      </c>
      <c r="B361" s="3" t="s">
        <v>204</v>
      </c>
      <c r="C361" s="3">
        <v>19</v>
      </c>
      <c r="D361" s="3">
        <v>22</v>
      </c>
    </row>
    <row r="362" spans="1:4" x14ac:dyDescent="0.3">
      <c r="A362" s="3" t="s">
        <v>91</v>
      </c>
      <c r="B362" s="3" t="s">
        <v>204</v>
      </c>
      <c r="C362" s="3">
        <v>22</v>
      </c>
      <c r="D362" s="3">
        <v>22</v>
      </c>
    </row>
    <row r="363" spans="1:4" x14ac:dyDescent="0.3">
      <c r="A363" s="3" t="s">
        <v>95</v>
      </c>
      <c r="B363" s="3" t="s">
        <v>204</v>
      </c>
      <c r="C363" s="3">
        <v>19</v>
      </c>
      <c r="D363" s="3">
        <v>22</v>
      </c>
    </row>
    <row r="364" spans="1:4" x14ac:dyDescent="0.3">
      <c r="A364" s="3" t="s">
        <v>99</v>
      </c>
      <c r="B364" s="3" t="s">
        <v>204</v>
      </c>
      <c r="C364" s="3">
        <v>20</v>
      </c>
      <c r="D364" s="3">
        <v>22</v>
      </c>
    </row>
    <row r="365" spans="1:4" x14ac:dyDescent="0.3">
      <c r="A365" s="3" t="s">
        <v>107</v>
      </c>
      <c r="B365" s="3" t="s">
        <v>204</v>
      </c>
      <c r="C365" s="3">
        <v>19</v>
      </c>
      <c r="D365" s="3">
        <v>22</v>
      </c>
    </row>
    <row r="366" spans="1:4" x14ac:dyDescent="0.3">
      <c r="A366" s="3" t="s">
        <v>111</v>
      </c>
      <c r="B366" s="3" t="s">
        <v>204</v>
      </c>
      <c r="C366" s="3">
        <v>22</v>
      </c>
      <c r="D366" s="3">
        <v>22</v>
      </c>
    </row>
    <row r="367" spans="1:4" x14ac:dyDescent="0.3">
      <c r="A367" s="3" t="s">
        <v>115</v>
      </c>
      <c r="B367" s="3" t="s">
        <v>204</v>
      </c>
      <c r="C367" s="3">
        <v>22</v>
      </c>
      <c r="D367" s="3">
        <v>22</v>
      </c>
    </row>
    <row r="368" spans="1:4" x14ac:dyDescent="0.3">
      <c r="A368" s="3" t="s">
        <v>119</v>
      </c>
      <c r="B368" s="3" t="s">
        <v>204</v>
      </c>
      <c r="C368" s="3">
        <v>21</v>
      </c>
      <c r="D368" s="3">
        <v>22</v>
      </c>
    </row>
    <row r="369" spans="1:4" x14ac:dyDescent="0.3">
      <c r="A369" s="3" t="s">
        <v>123</v>
      </c>
      <c r="B369" s="3" t="s">
        <v>204</v>
      </c>
      <c r="C369" s="3">
        <v>20</v>
      </c>
      <c r="D369" s="3">
        <v>22</v>
      </c>
    </row>
    <row r="370" spans="1:4" x14ac:dyDescent="0.3">
      <c r="A370" s="3" t="s">
        <v>127</v>
      </c>
      <c r="B370" s="3" t="s">
        <v>204</v>
      </c>
      <c r="C370" s="3">
        <v>20</v>
      </c>
      <c r="D370" s="3">
        <v>22</v>
      </c>
    </row>
    <row r="371" spans="1:4" x14ac:dyDescent="0.3">
      <c r="A371" s="3" t="s">
        <v>131</v>
      </c>
      <c r="B371" s="3" t="s">
        <v>204</v>
      </c>
      <c r="C371" s="3">
        <v>22</v>
      </c>
      <c r="D371" s="3">
        <v>22</v>
      </c>
    </row>
    <row r="372" spans="1:4" x14ac:dyDescent="0.3">
      <c r="A372" s="3" t="s">
        <v>135</v>
      </c>
      <c r="B372" s="3" t="s">
        <v>204</v>
      </c>
      <c r="C372" s="3">
        <v>22</v>
      </c>
      <c r="D372" s="3">
        <v>22</v>
      </c>
    </row>
    <row r="373" spans="1:4" x14ac:dyDescent="0.3">
      <c r="A373" s="3" t="s">
        <v>139</v>
      </c>
      <c r="B373" s="3" t="s">
        <v>204</v>
      </c>
      <c r="C373" s="3">
        <v>20</v>
      </c>
      <c r="D373" s="3">
        <v>22</v>
      </c>
    </row>
    <row r="374" spans="1:4" x14ac:dyDescent="0.3">
      <c r="A374" s="3" t="s">
        <v>143</v>
      </c>
      <c r="B374" s="3" t="s">
        <v>204</v>
      </c>
      <c r="C374" s="3">
        <v>21</v>
      </c>
      <c r="D374" s="3">
        <v>22</v>
      </c>
    </row>
    <row r="375" spans="1:4" x14ac:dyDescent="0.3">
      <c r="A375" s="3" t="s">
        <v>147</v>
      </c>
      <c r="B375" s="3" t="s">
        <v>204</v>
      </c>
      <c r="C375" s="3">
        <v>22</v>
      </c>
      <c r="D375" s="3">
        <v>22</v>
      </c>
    </row>
    <row r="376" spans="1:4" x14ac:dyDescent="0.3">
      <c r="A376" s="3" t="s">
        <v>151</v>
      </c>
      <c r="B376" s="3" t="s">
        <v>204</v>
      </c>
      <c r="C376" s="3">
        <v>22</v>
      </c>
      <c r="D376" s="3">
        <v>22</v>
      </c>
    </row>
    <row r="377" spans="1:4" x14ac:dyDescent="0.3">
      <c r="A377" s="3" t="s">
        <v>155</v>
      </c>
      <c r="B377" s="3" t="s">
        <v>204</v>
      </c>
      <c r="C377" s="3">
        <v>21</v>
      </c>
      <c r="D377" s="3">
        <v>22</v>
      </c>
    </row>
    <row r="378" spans="1:4" x14ac:dyDescent="0.3">
      <c r="A378" s="3" t="s">
        <v>159</v>
      </c>
      <c r="B378" s="3" t="s">
        <v>204</v>
      </c>
      <c r="C378" s="3">
        <v>19</v>
      </c>
      <c r="D378" s="3">
        <v>22</v>
      </c>
    </row>
    <row r="379" spans="1:4" x14ac:dyDescent="0.3">
      <c r="A379" s="3" t="s">
        <v>163</v>
      </c>
      <c r="B379" s="3" t="s">
        <v>204</v>
      </c>
      <c r="C379" s="3">
        <v>20</v>
      </c>
      <c r="D379" s="3">
        <v>22</v>
      </c>
    </row>
    <row r="380" spans="1:4" x14ac:dyDescent="0.3">
      <c r="A380" s="3" t="s">
        <v>39</v>
      </c>
      <c r="B380" s="3" t="s">
        <v>205</v>
      </c>
      <c r="C380" s="3">
        <v>22</v>
      </c>
      <c r="D380" s="3">
        <v>22</v>
      </c>
    </row>
    <row r="381" spans="1:4" x14ac:dyDescent="0.3">
      <c r="A381" s="3" t="s">
        <v>44</v>
      </c>
      <c r="B381" s="3" t="s">
        <v>205</v>
      </c>
      <c r="C381" s="3">
        <v>19</v>
      </c>
      <c r="D381" s="3">
        <v>22</v>
      </c>
    </row>
    <row r="382" spans="1:4" x14ac:dyDescent="0.3">
      <c r="A382" s="3" t="s">
        <v>49</v>
      </c>
      <c r="B382" s="3" t="s">
        <v>205</v>
      </c>
      <c r="C382" s="3">
        <v>20</v>
      </c>
      <c r="D382" s="3">
        <v>22</v>
      </c>
    </row>
    <row r="383" spans="1:4" x14ac:dyDescent="0.3">
      <c r="A383" s="3" t="s">
        <v>59</v>
      </c>
      <c r="B383" s="3" t="s">
        <v>205</v>
      </c>
      <c r="C383" s="3">
        <v>20</v>
      </c>
      <c r="D383" s="3">
        <v>22</v>
      </c>
    </row>
    <row r="384" spans="1:4" x14ac:dyDescent="0.3">
      <c r="A384" s="3" t="s">
        <v>64</v>
      </c>
      <c r="B384" s="3" t="s">
        <v>205</v>
      </c>
      <c r="C384" s="3">
        <v>19</v>
      </c>
      <c r="D384" s="3">
        <v>22</v>
      </c>
    </row>
    <row r="385" spans="1:4" x14ac:dyDescent="0.3">
      <c r="A385" s="3" t="s">
        <v>69</v>
      </c>
      <c r="B385" s="3" t="s">
        <v>205</v>
      </c>
      <c r="C385" s="3">
        <v>19</v>
      </c>
      <c r="D385" s="3">
        <v>22</v>
      </c>
    </row>
    <row r="386" spans="1:4" x14ac:dyDescent="0.3">
      <c r="A386" s="3" t="s">
        <v>74</v>
      </c>
      <c r="B386" s="3" t="s">
        <v>205</v>
      </c>
      <c r="C386" s="3">
        <v>20</v>
      </c>
      <c r="D386" s="3">
        <v>22</v>
      </c>
    </row>
    <row r="387" spans="1:4" x14ac:dyDescent="0.3">
      <c r="A387" s="3" t="s">
        <v>79</v>
      </c>
      <c r="B387" s="3" t="s">
        <v>205</v>
      </c>
      <c r="C387" s="3">
        <v>20</v>
      </c>
      <c r="D387" s="3">
        <v>22</v>
      </c>
    </row>
    <row r="388" spans="1:4" x14ac:dyDescent="0.3">
      <c r="A388" s="3" t="s">
        <v>83</v>
      </c>
      <c r="B388" s="3" t="s">
        <v>205</v>
      </c>
      <c r="C388" s="3">
        <v>20</v>
      </c>
      <c r="D388" s="3">
        <v>22</v>
      </c>
    </row>
    <row r="389" spans="1:4" x14ac:dyDescent="0.3">
      <c r="A389" s="3" t="s">
        <v>87</v>
      </c>
      <c r="B389" s="3" t="s">
        <v>205</v>
      </c>
      <c r="C389" s="3">
        <v>19</v>
      </c>
      <c r="D389" s="3">
        <v>22</v>
      </c>
    </row>
    <row r="390" spans="1:4" x14ac:dyDescent="0.3">
      <c r="A390" s="3" t="s">
        <v>91</v>
      </c>
      <c r="B390" s="3" t="s">
        <v>205</v>
      </c>
      <c r="C390" s="3">
        <v>21</v>
      </c>
      <c r="D390" s="3">
        <v>22</v>
      </c>
    </row>
    <row r="391" spans="1:4" x14ac:dyDescent="0.3">
      <c r="A391" s="3" t="s">
        <v>95</v>
      </c>
      <c r="B391" s="3" t="s">
        <v>205</v>
      </c>
      <c r="C391" s="3">
        <v>21</v>
      </c>
      <c r="D391" s="3">
        <v>22</v>
      </c>
    </row>
    <row r="392" spans="1:4" x14ac:dyDescent="0.3">
      <c r="A392" s="3" t="s">
        <v>99</v>
      </c>
      <c r="B392" s="3" t="s">
        <v>205</v>
      </c>
      <c r="C392" s="3">
        <v>21</v>
      </c>
      <c r="D392" s="3">
        <v>22</v>
      </c>
    </row>
    <row r="393" spans="1:4" x14ac:dyDescent="0.3">
      <c r="A393" s="3" t="s">
        <v>107</v>
      </c>
      <c r="B393" s="3" t="s">
        <v>205</v>
      </c>
      <c r="C393" s="3">
        <v>20</v>
      </c>
      <c r="D393" s="3">
        <v>22</v>
      </c>
    </row>
    <row r="394" spans="1:4" x14ac:dyDescent="0.3">
      <c r="A394" s="3" t="s">
        <v>111</v>
      </c>
      <c r="B394" s="3" t="s">
        <v>205</v>
      </c>
      <c r="C394" s="3">
        <v>22</v>
      </c>
      <c r="D394" s="3">
        <v>22</v>
      </c>
    </row>
    <row r="395" spans="1:4" x14ac:dyDescent="0.3">
      <c r="A395" s="3" t="s">
        <v>115</v>
      </c>
      <c r="B395" s="3" t="s">
        <v>205</v>
      </c>
      <c r="C395" s="3">
        <v>19</v>
      </c>
      <c r="D395" s="3">
        <v>22</v>
      </c>
    </row>
    <row r="396" spans="1:4" x14ac:dyDescent="0.3">
      <c r="A396" s="3" t="s">
        <v>119</v>
      </c>
      <c r="B396" s="3" t="s">
        <v>205</v>
      </c>
      <c r="C396" s="3">
        <v>22</v>
      </c>
      <c r="D396" s="3">
        <v>22</v>
      </c>
    </row>
    <row r="397" spans="1:4" x14ac:dyDescent="0.3">
      <c r="A397" s="3" t="s">
        <v>123</v>
      </c>
      <c r="B397" s="3" t="s">
        <v>205</v>
      </c>
      <c r="C397" s="3">
        <v>19</v>
      </c>
      <c r="D397" s="3">
        <v>22</v>
      </c>
    </row>
    <row r="398" spans="1:4" x14ac:dyDescent="0.3">
      <c r="A398" s="3" t="s">
        <v>127</v>
      </c>
      <c r="B398" s="3" t="s">
        <v>205</v>
      </c>
      <c r="C398" s="3">
        <v>20</v>
      </c>
      <c r="D398" s="3">
        <v>22</v>
      </c>
    </row>
    <row r="399" spans="1:4" x14ac:dyDescent="0.3">
      <c r="A399" s="3" t="s">
        <v>131</v>
      </c>
      <c r="B399" s="3" t="s">
        <v>205</v>
      </c>
      <c r="C399" s="3">
        <v>20</v>
      </c>
      <c r="D399" s="3">
        <v>22</v>
      </c>
    </row>
    <row r="400" spans="1:4" x14ac:dyDescent="0.3">
      <c r="A400" s="3" t="s">
        <v>135</v>
      </c>
      <c r="B400" s="3" t="s">
        <v>205</v>
      </c>
      <c r="C400" s="3">
        <v>22</v>
      </c>
      <c r="D400" s="3">
        <v>22</v>
      </c>
    </row>
    <row r="401" spans="1:4" x14ac:dyDescent="0.3">
      <c r="A401" s="3" t="s">
        <v>139</v>
      </c>
      <c r="B401" s="3" t="s">
        <v>205</v>
      </c>
      <c r="C401" s="3">
        <v>19</v>
      </c>
      <c r="D401" s="3">
        <v>22</v>
      </c>
    </row>
    <row r="402" spans="1:4" x14ac:dyDescent="0.3">
      <c r="A402" s="3" t="s">
        <v>143</v>
      </c>
      <c r="B402" s="3" t="s">
        <v>205</v>
      </c>
      <c r="C402" s="3">
        <v>21</v>
      </c>
      <c r="D402" s="3">
        <v>22</v>
      </c>
    </row>
    <row r="403" spans="1:4" x14ac:dyDescent="0.3">
      <c r="A403" s="3" t="s">
        <v>147</v>
      </c>
      <c r="B403" s="3" t="s">
        <v>205</v>
      </c>
      <c r="C403" s="3">
        <v>22</v>
      </c>
      <c r="D403" s="3">
        <v>22</v>
      </c>
    </row>
    <row r="404" spans="1:4" x14ac:dyDescent="0.3">
      <c r="A404" s="3" t="s">
        <v>151</v>
      </c>
      <c r="B404" s="3" t="s">
        <v>205</v>
      </c>
      <c r="C404" s="3">
        <v>20</v>
      </c>
      <c r="D404" s="3">
        <v>22</v>
      </c>
    </row>
    <row r="405" spans="1:4" x14ac:dyDescent="0.3">
      <c r="A405" s="3" t="s">
        <v>155</v>
      </c>
      <c r="B405" s="3" t="s">
        <v>205</v>
      </c>
      <c r="C405" s="3">
        <v>20</v>
      </c>
      <c r="D405" s="3">
        <v>22</v>
      </c>
    </row>
    <row r="406" spans="1:4" x14ac:dyDescent="0.3">
      <c r="A406" s="3" t="s">
        <v>159</v>
      </c>
      <c r="B406" s="3" t="s">
        <v>205</v>
      </c>
      <c r="C406" s="3">
        <v>20</v>
      </c>
      <c r="D406" s="3">
        <v>22</v>
      </c>
    </row>
    <row r="407" spans="1:4" x14ac:dyDescent="0.3">
      <c r="A407" s="3" t="s">
        <v>163</v>
      </c>
      <c r="B407" s="3" t="s">
        <v>205</v>
      </c>
      <c r="C407" s="3">
        <v>20</v>
      </c>
      <c r="D407" s="3">
        <v>22</v>
      </c>
    </row>
    <row r="408" spans="1:4" x14ac:dyDescent="0.3">
      <c r="A408" s="3" t="s">
        <v>39</v>
      </c>
      <c r="B408" s="3" t="s">
        <v>206</v>
      </c>
      <c r="C408" s="3">
        <v>20</v>
      </c>
      <c r="D408" s="3">
        <v>22</v>
      </c>
    </row>
    <row r="409" spans="1:4" x14ac:dyDescent="0.3">
      <c r="A409" s="3" t="s">
        <v>44</v>
      </c>
      <c r="B409" s="3" t="s">
        <v>206</v>
      </c>
      <c r="C409" s="3">
        <v>20</v>
      </c>
      <c r="D409" s="3">
        <v>22</v>
      </c>
    </row>
    <row r="410" spans="1:4" x14ac:dyDescent="0.3">
      <c r="A410" s="3" t="s">
        <v>49</v>
      </c>
      <c r="B410" s="3" t="s">
        <v>206</v>
      </c>
      <c r="C410" s="3">
        <v>21</v>
      </c>
      <c r="D410" s="3">
        <v>22</v>
      </c>
    </row>
    <row r="411" spans="1:4" x14ac:dyDescent="0.3">
      <c r="A411" s="3" t="s">
        <v>59</v>
      </c>
      <c r="B411" s="3" t="s">
        <v>206</v>
      </c>
      <c r="C411" s="3">
        <v>20</v>
      </c>
      <c r="D411" s="3">
        <v>22</v>
      </c>
    </row>
    <row r="412" spans="1:4" x14ac:dyDescent="0.3">
      <c r="A412" s="3" t="s">
        <v>64</v>
      </c>
      <c r="B412" s="3" t="s">
        <v>206</v>
      </c>
      <c r="C412" s="3">
        <v>21</v>
      </c>
      <c r="D412" s="3">
        <v>22</v>
      </c>
    </row>
    <row r="413" spans="1:4" x14ac:dyDescent="0.3">
      <c r="A413" s="3" t="s">
        <v>69</v>
      </c>
      <c r="B413" s="3" t="s">
        <v>206</v>
      </c>
      <c r="C413" s="3">
        <v>21</v>
      </c>
      <c r="D413" s="3">
        <v>22</v>
      </c>
    </row>
    <row r="414" spans="1:4" x14ac:dyDescent="0.3">
      <c r="A414" s="3" t="s">
        <v>74</v>
      </c>
      <c r="B414" s="3" t="s">
        <v>206</v>
      </c>
      <c r="C414" s="3">
        <v>20</v>
      </c>
      <c r="D414" s="3">
        <v>22</v>
      </c>
    </row>
    <row r="415" spans="1:4" x14ac:dyDescent="0.3">
      <c r="A415" s="3" t="s">
        <v>79</v>
      </c>
      <c r="B415" s="3" t="s">
        <v>206</v>
      </c>
      <c r="C415" s="3">
        <v>20</v>
      </c>
      <c r="D415" s="3">
        <v>22</v>
      </c>
    </row>
    <row r="416" spans="1:4" x14ac:dyDescent="0.3">
      <c r="A416" s="3" t="s">
        <v>83</v>
      </c>
      <c r="B416" s="3" t="s">
        <v>206</v>
      </c>
      <c r="C416" s="3">
        <v>20</v>
      </c>
      <c r="D416" s="3">
        <v>22</v>
      </c>
    </row>
    <row r="417" spans="1:4" x14ac:dyDescent="0.3">
      <c r="A417" s="3" t="s">
        <v>87</v>
      </c>
      <c r="B417" s="3" t="s">
        <v>206</v>
      </c>
      <c r="C417" s="3">
        <v>19</v>
      </c>
      <c r="D417" s="3">
        <v>22</v>
      </c>
    </row>
    <row r="418" spans="1:4" x14ac:dyDescent="0.3">
      <c r="A418" s="3" t="s">
        <v>91</v>
      </c>
      <c r="B418" s="3" t="s">
        <v>206</v>
      </c>
      <c r="C418" s="3">
        <v>20</v>
      </c>
      <c r="D418" s="3">
        <v>22</v>
      </c>
    </row>
    <row r="419" spans="1:4" x14ac:dyDescent="0.3">
      <c r="A419" s="3" t="s">
        <v>95</v>
      </c>
      <c r="B419" s="3" t="s">
        <v>206</v>
      </c>
      <c r="C419" s="3">
        <v>20</v>
      </c>
      <c r="D419" s="3">
        <v>22</v>
      </c>
    </row>
    <row r="420" spans="1:4" x14ac:dyDescent="0.3">
      <c r="A420" s="3" t="s">
        <v>99</v>
      </c>
      <c r="B420" s="3" t="s">
        <v>206</v>
      </c>
      <c r="C420" s="3">
        <v>20</v>
      </c>
      <c r="D420" s="3">
        <v>22</v>
      </c>
    </row>
    <row r="421" spans="1:4" x14ac:dyDescent="0.3">
      <c r="A421" s="3" t="s">
        <v>107</v>
      </c>
      <c r="B421" s="3" t="s">
        <v>206</v>
      </c>
      <c r="C421" s="3">
        <v>19</v>
      </c>
      <c r="D421" s="3">
        <v>22</v>
      </c>
    </row>
    <row r="422" spans="1:4" x14ac:dyDescent="0.3">
      <c r="A422" s="3" t="s">
        <v>111</v>
      </c>
      <c r="B422" s="3" t="s">
        <v>206</v>
      </c>
      <c r="C422" s="3">
        <v>20</v>
      </c>
      <c r="D422" s="3">
        <v>22</v>
      </c>
    </row>
    <row r="423" spans="1:4" x14ac:dyDescent="0.3">
      <c r="A423" s="3" t="s">
        <v>115</v>
      </c>
      <c r="B423" s="3" t="s">
        <v>206</v>
      </c>
      <c r="C423" s="3">
        <v>21</v>
      </c>
      <c r="D423" s="3">
        <v>22</v>
      </c>
    </row>
    <row r="424" spans="1:4" x14ac:dyDescent="0.3">
      <c r="A424" s="3" t="s">
        <v>119</v>
      </c>
      <c r="B424" s="3" t="s">
        <v>206</v>
      </c>
      <c r="C424" s="3">
        <v>19</v>
      </c>
      <c r="D424" s="3">
        <v>22</v>
      </c>
    </row>
    <row r="425" spans="1:4" x14ac:dyDescent="0.3">
      <c r="A425" s="3" t="s">
        <v>123</v>
      </c>
      <c r="B425" s="3" t="s">
        <v>206</v>
      </c>
      <c r="C425" s="3">
        <v>22</v>
      </c>
      <c r="D425" s="3">
        <v>22</v>
      </c>
    </row>
    <row r="426" spans="1:4" x14ac:dyDescent="0.3">
      <c r="A426" s="3" t="s">
        <v>127</v>
      </c>
      <c r="B426" s="3" t="s">
        <v>206</v>
      </c>
      <c r="C426" s="3">
        <v>22</v>
      </c>
      <c r="D426" s="3">
        <v>22</v>
      </c>
    </row>
    <row r="427" spans="1:4" x14ac:dyDescent="0.3">
      <c r="A427" s="3" t="s">
        <v>131</v>
      </c>
      <c r="B427" s="3" t="s">
        <v>206</v>
      </c>
      <c r="C427" s="3">
        <v>20</v>
      </c>
      <c r="D427" s="3">
        <v>22</v>
      </c>
    </row>
    <row r="428" spans="1:4" x14ac:dyDescent="0.3">
      <c r="A428" s="3" t="s">
        <v>135</v>
      </c>
      <c r="B428" s="3" t="s">
        <v>206</v>
      </c>
      <c r="C428" s="3">
        <v>20</v>
      </c>
      <c r="D428" s="3">
        <v>22</v>
      </c>
    </row>
    <row r="429" spans="1:4" x14ac:dyDescent="0.3">
      <c r="A429" s="3" t="s">
        <v>139</v>
      </c>
      <c r="B429" s="3" t="s">
        <v>206</v>
      </c>
      <c r="C429" s="3">
        <v>21</v>
      </c>
      <c r="D429" s="3">
        <v>22</v>
      </c>
    </row>
    <row r="430" spans="1:4" x14ac:dyDescent="0.3">
      <c r="A430" s="3" t="s">
        <v>143</v>
      </c>
      <c r="B430" s="3" t="s">
        <v>206</v>
      </c>
      <c r="C430" s="3">
        <v>19</v>
      </c>
      <c r="D430" s="3">
        <v>22</v>
      </c>
    </row>
    <row r="431" spans="1:4" x14ac:dyDescent="0.3">
      <c r="A431" s="3" t="s">
        <v>147</v>
      </c>
      <c r="B431" s="3" t="s">
        <v>206</v>
      </c>
      <c r="C431" s="3">
        <v>19</v>
      </c>
      <c r="D431" s="3">
        <v>22</v>
      </c>
    </row>
    <row r="432" spans="1:4" x14ac:dyDescent="0.3">
      <c r="A432" s="3" t="s">
        <v>151</v>
      </c>
      <c r="B432" s="3" t="s">
        <v>206</v>
      </c>
      <c r="C432" s="3">
        <v>20</v>
      </c>
      <c r="D432" s="3">
        <v>22</v>
      </c>
    </row>
    <row r="433" spans="1:4" x14ac:dyDescent="0.3">
      <c r="A433" s="3" t="s">
        <v>155</v>
      </c>
      <c r="B433" s="3" t="s">
        <v>206</v>
      </c>
      <c r="C433" s="3">
        <v>21</v>
      </c>
      <c r="D433" s="3">
        <v>22</v>
      </c>
    </row>
    <row r="434" spans="1:4" x14ac:dyDescent="0.3">
      <c r="A434" s="3" t="s">
        <v>159</v>
      </c>
      <c r="B434" s="3" t="s">
        <v>206</v>
      </c>
      <c r="C434" s="3">
        <v>21</v>
      </c>
      <c r="D434" s="3">
        <v>22</v>
      </c>
    </row>
    <row r="435" spans="1:4" x14ac:dyDescent="0.3">
      <c r="A435" s="3" t="s">
        <v>163</v>
      </c>
      <c r="B435" s="3" t="s">
        <v>206</v>
      </c>
      <c r="C435" s="3">
        <v>19</v>
      </c>
      <c r="D435" s="3">
        <v>22</v>
      </c>
    </row>
    <row r="436" spans="1:4" x14ac:dyDescent="0.3">
      <c r="A436" s="3" t="s">
        <v>39</v>
      </c>
      <c r="B436" s="3" t="s">
        <v>207</v>
      </c>
      <c r="C436" s="3">
        <v>21</v>
      </c>
      <c r="D436" s="3">
        <v>22</v>
      </c>
    </row>
    <row r="437" spans="1:4" x14ac:dyDescent="0.3">
      <c r="A437" s="3" t="s">
        <v>44</v>
      </c>
      <c r="B437" s="3" t="s">
        <v>207</v>
      </c>
      <c r="C437" s="3">
        <v>20</v>
      </c>
      <c r="D437" s="3">
        <v>22</v>
      </c>
    </row>
    <row r="438" spans="1:4" x14ac:dyDescent="0.3">
      <c r="A438" s="3" t="s">
        <v>49</v>
      </c>
      <c r="B438" s="3" t="s">
        <v>207</v>
      </c>
      <c r="C438" s="3">
        <v>19</v>
      </c>
      <c r="D438" s="3">
        <v>22</v>
      </c>
    </row>
    <row r="439" spans="1:4" x14ac:dyDescent="0.3">
      <c r="A439" s="3" t="s">
        <v>59</v>
      </c>
      <c r="B439" s="3" t="s">
        <v>207</v>
      </c>
      <c r="C439" s="3">
        <v>22</v>
      </c>
      <c r="D439" s="3">
        <v>22</v>
      </c>
    </row>
    <row r="440" spans="1:4" x14ac:dyDescent="0.3">
      <c r="A440" s="3" t="s">
        <v>64</v>
      </c>
      <c r="B440" s="3" t="s">
        <v>207</v>
      </c>
      <c r="C440" s="3">
        <v>19</v>
      </c>
      <c r="D440" s="3">
        <v>22</v>
      </c>
    </row>
    <row r="441" spans="1:4" x14ac:dyDescent="0.3">
      <c r="A441" s="3" t="s">
        <v>69</v>
      </c>
      <c r="B441" s="3" t="s">
        <v>207</v>
      </c>
      <c r="C441" s="3">
        <v>19</v>
      </c>
      <c r="D441" s="3">
        <v>22</v>
      </c>
    </row>
    <row r="442" spans="1:4" x14ac:dyDescent="0.3">
      <c r="A442" s="3" t="s">
        <v>74</v>
      </c>
      <c r="B442" s="3" t="s">
        <v>207</v>
      </c>
      <c r="C442" s="3">
        <v>19</v>
      </c>
      <c r="D442" s="3">
        <v>22</v>
      </c>
    </row>
    <row r="443" spans="1:4" x14ac:dyDescent="0.3">
      <c r="A443" s="3" t="s">
        <v>79</v>
      </c>
      <c r="B443" s="3" t="s">
        <v>207</v>
      </c>
      <c r="C443" s="3">
        <v>22</v>
      </c>
      <c r="D443" s="3">
        <v>22</v>
      </c>
    </row>
    <row r="444" spans="1:4" x14ac:dyDescent="0.3">
      <c r="A444" s="3" t="s">
        <v>83</v>
      </c>
      <c r="B444" s="3" t="s">
        <v>207</v>
      </c>
      <c r="C444" s="3">
        <v>20</v>
      </c>
      <c r="D444" s="3">
        <v>22</v>
      </c>
    </row>
    <row r="445" spans="1:4" x14ac:dyDescent="0.3">
      <c r="A445" s="3" t="s">
        <v>87</v>
      </c>
      <c r="B445" s="3" t="s">
        <v>207</v>
      </c>
      <c r="C445" s="3">
        <v>20</v>
      </c>
      <c r="D445" s="3">
        <v>22</v>
      </c>
    </row>
    <row r="446" spans="1:4" x14ac:dyDescent="0.3">
      <c r="A446" s="3" t="s">
        <v>91</v>
      </c>
      <c r="B446" s="3" t="s">
        <v>207</v>
      </c>
      <c r="C446" s="3">
        <v>20</v>
      </c>
      <c r="D446" s="3">
        <v>22</v>
      </c>
    </row>
    <row r="447" spans="1:4" x14ac:dyDescent="0.3">
      <c r="A447" s="3" t="s">
        <v>95</v>
      </c>
      <c r="B447" s="3" t="s">
        <v>207</v>
      </c>
      <c r="C447" s="3">
        <v>19</v>
      </c>
      <c r="D447" s="3">
        <v>22</v>
      </c>
    </row>
    <row r="448" spans="1:4" x14ac:dyDescent="0.3">
      <c r="A448" s="3" t="s">
        <v>99</v>
      </c>
      <c r="B448" s="3" t="s">
        <v>207</v>
      </c>
      <c r="C448" s="3">
        <v>20</v>
      </c>
      <c r="D448" s="3">
        <v>22</v>
      </c>
    </row>
    <row r="449" spans="1:4" x14ac:dyDescent="0.3">
      <c r="A449" s="3" t="s">
        <v>107</v>
      </c>
      <c r="B449" s="3" t="s">
        <v>207</v>
      </c>
      <c r="C449" s="3">
        <v>20</v>
      </c>
      <c r="D449" s="3">
        <v>22</v>
      </c>
    </row>
    <row r="450" spans="1:4" x14ac:dyDescent="0.3">
      <c r="A450" s="3" t="s">
        <v>111</v>
      </c>
      <c r="B450" s="3" t="s">
        <v>207</v>
      </c>
      <c r="C450" s="3">
        <v>20</v>
      </c>
      <c r="D450" s="3">
        <v>22</v>
      </c>
    </row>
    <row r="451" spans="1:4" x14ac:dyDescent="0.3">
      <c r="A451" s="3" t="s">
        <v>115</v>
      </c>
      <c r="B451" s="3" t="s">
        <v>207</v>
      </c>
      <c r="C451" s="3">
        <v>21</v>
      </c>
      <c r="D451" s="3">
        <v>22</v>
      </c>
    </row>
    <row r="452" spans="1:4" x14ac:dyDescent="0.3">
      <c r="A452" s="3" t="s">
        <v>119</v>
      </c>
      <c r="B452" s="3" t="s">
        <v>207</v>
      </c>
      <c r="C452" s="3">
        <v>19</v>
      </c>
      <c r="D452" s="3">
        <v>22</v>
      </c>
    </row>
    <row r="453" spans="1:4" x14ac:dyDescent="0.3">
      <c r="A453" s="3" t="s">
        <v>123</v>
      </c>
      <c r="B453" s="3" t="s">
        <v>207</v>
      </c>
      <c r="C453" s="3">
        <v>19</v>
      </c>
      <c r="D453" s="3">
        <v>22</v>
      </c>
    </row>
    <row r="454" spans="1:4" x14ac:dyDescent="0.3">
      <c r="A454" s="3" t="s">
        <v>127</v>
      </c>
      <c r="B454" s="3" t="s">
        <v>207</v>
      </c>
      <c r="C454" s="3">
        <v>20</v>
      </c>
      <c r="D454" s="3">
        <v>22</v>
      </c>
    </row>
    <row r="455" spans="1:4" x14ac:dyDescent="0.3">
      <c r="A455" s="3" t="s">
        <v>131</v>
      </c>
      <c r="B455" s="3" t="s">
        <v>207</v>
      </c>
      <c r="C455" s="3">
        <v>22</v>
      </c>
      <c r="D455" s="3">
        <v>22</v>
      </c>
    </row>
    <row r="456" spans="1:4" x14ac:dyDescent="0.3">
      <c r="A456" s="3" t="s">
        <v>135</v>
      </c>
      <c r="B456" s="3" t="s">
        <v>207</v>
      </c>
      <c r="C456" s="3">
        <v>19</v>
      </c>
      <c r="D456" s="3">
        <v>22</v>
      </c>
    </row>
    <row r="457" spans="1:4" x14ac:dyDescent="0.3">
      <c r="A457" s="3" t="s">
        <v>139</v>
      </c>
      <c r="B457" s="3" t="s">
        <v>207</v>
      </c>
      <c r="C457" s="3">
        <v>19</v>
      </c>
      <c r="D457" s="3">
        <v>22</v>
      </c>
    </row>
    <row r="458" spans="1:4" x14ac:dyDescent="0.3">
      <c r="A458" s="3" t="s">
        <v>143</v>
      </c>
      <c r="B458" s="3" t="s">
        <v>207</v>
      </c>
      <c r="C458" s="3">
        <v>21</v>
      </c>
      <c r="D458" s="3">
        <v>22</v>
      </c>
    </row>
    <row r="459" spans="1:4" x14ac:dyDescent="0.3">
      <c r="A459" s="3" t="s">
        <v>147</v>
      </c>
      <c r="B459" s="3" t="s">
        <v>207</v>
      </c>
      <c r="C459" s="3">
        <v>21</v>
      </c>
      <c r="D459" s="3">
        <v>22</v>
      </c>
    </row>
    <row r="460" spans="1:4" x14ac:dyDescent="0.3">
      <c r="A460" s="3" t="s">
        <v>151</v>
      </c>
      <c r="B460" s="3" t="s">
        <v>207</v>
      </c>
      <c r="C460" s="3">
        <v>22</v>
      </c>
      <c r="D460" s="3">
        <v>22</v>
      </c>
    </row>
    <row r="461" spans="1:4" x14ac:dyDescent="0.3">
      <c r="A461" s="3" t="s">
        <v>155</v>
      </c>
      <c r="B461" s="3" t="s">
        <v>207</v>
      </c>
      <c r="C461" s="3">
        <v>22</v>
      </c>
      <c r="D461" s="3">
        <v>22</v>
      </c>
    </row>
    <row r="462" spans="1:4" x14ac:dyDescent="0.3">
      <c r="A462" s="3" t="s">
        <v>159</v>
      </c>
      <c r="B462" s="3" t="s">
        <v>207</v>
      </c>
      <c r="C462" s="3">
        <v>21</v>
      </c>
      <c r="D462" s="3">
        <v>22</v>
      </c>
    </row>
    <row r="463" spans="1:4" x14ac:dyDescent="0.3">
      <c r="A463" s="3" t="s">
        <v>163</v>
      </c>
      <c r="B463" s="3" t="s">
        <v>207</v>
      </c>
      <c r="C463" s="3">
        <v>22</v>
      </c>
      <c r="D463" s="3">
        <v>22</v>
      </c>
    </row>
    <row r="464" spans="1:4" x14ac:dyDescent="0.3">
      <c r="A464" s="3" t="s">
        <v>39</v>
      </c>
      <c r="B464" s="3" t="s">
        <v>208</v>
      </c>
      <c r="C464" s="3">
        <v>20</v>
      </c>
      <c r="D464" s="3">
        <v>22</v>
      </c>
    </row>
    <row r="465" spans="1:4" x14ac:dyDescent="0.3">
      <c r="A465" s="3" t="s">
        <v>44</v>
      </c>
      <c r="B465" s="3" t="s">
        <v>208</v>
      </c>
      <c r="C465" s="3">
        <v>21</v>
      </c>
      <c r="D465" s="3">
        <v>22</v>
      </c>
    </row>
    <row r="466" spans="1:4" x14ac:dyDescent="0.3">
      <c r="A466" s="3" t="s">
        <v>49</v>
      </c>
      <c r="B466" s="3" t="s">
        <v>208</v>
      </c>
      <c r="C466" s="3">
        <v>19</v>
      </c>
      <c r="D466" s="3">
        <v>22</v>
      </c>
    </row>
    <row r="467" spans="1:4" x14ac:dyDescent="0.3">
      <c r="A467" s="3" t="s">
        <v>59</v>
      </c>
      <c r="B467" s="3" t="s">
        <v>208</v>
      </c>
      <c r="C467" s="3">
        <v>19</v>
      </c>
      <c r="D467" s="3">
        <v>22</v>
      </c>
    </row>
    <row r="468" spans="1:4" x14ac:dyDescent="0.3">
      <c r="A468" s="3" t="s">
        <v>64</v>
      </c>
      <c r="B468" s="3" t="s">
        <v>208</v>
      </c>
      <c r="C468" s="3">
        <v>20</v>
      </c>
      <c r="D468" s="3">
        <v>22</v>
      </c>
    </row>
    <row r="469" spans="1:4" x14ac:dyDescent="0.3">
      <c r="A469" s="3" t="s">
        <v>69</v>
      </c>
      <c r="B469" s="3" t="s">
        <v>208</v>
      </c>
      <c r="C469" s="3">
        <v>20</v>
      </c>
      <c r="D469" s="3">
        <v>22</v>
      </c>
    </row>
    <row r="470" spans="1:4" x14ac:dyDescent="0.3">
      <c r="A470" s="3" t="s">
        <v>74</v>
      </c>
      <c r="B470" s="3" t="s">
        <v>208</v>
      </c>
      <c r="C470" s="3">
        <v>22</v>
      </c>
      <c r="D470" s="3">
        <v>22</v>
      </c>
    </row>
    <row r="471" spans="1:4" x14ac:dyDescent="0.3">
      <c r="A471" s="3" t="s">
        <v>79</v>
      </c>
      <c r="B471" s="3" t="s">
        <v>208</v>
      </c>
      <c r="C471" s="3">
        <v>22</v>
      </c>
      <c r="D471" s="3">
        <v>22</v>
      </c>
    </row>
    <row r="472" spans="1:4" x14ac:dyDescent="0.3">
      <c r="A472" s="3" t="s">
        <v>83</v>
      </c>
      <c r="B472" s="3" t="s">
        <v>208</v>
      </c>
      <c r="C472" s="3">
        <v>21</v>
      </c>
      <c r="D472" s="3">
        <v>22</v>
      </c>
    </row>
    <row r="473" spans="1:4" x14ac:dyDescent="0.3">
      <c r="A473" s="3" t="s">
        <v>87</v>
      </c>
      <c r="B473" s="3" t="s">
        <v>208</v>
      </c>
      <c r="C473" s="3">
        <v>21</v>
      </c>
      <c r="D473" s="3">
        <v>22</v>
      </c>
    </row>
    <row r="474" spans="1:4" x14ac:dyDescent="0.3">
      <c r="A474" s="3" t="s">
        <v>91</v>
      </c>
      <c r="B474" s="3" t="s">
        <v>208</v>
      </c>
      <c r="C474" s="3">
        <v>21</v>
      </c>
      <c r="D474" s="3">
        <v>22</v>
      </c>
    </row>
    <row r="475" spans="1:4" x14ac:dyDescent="0.3">
      <c r="A475" s="3" t="s">
        <v>95</v>
      </c>
      <c r="B475" s="3" t="s">
        <v>208</v>
      </c>
      <c r="C475" s="3">
        <v>20</v>
      </c>
      <c r="D475" s="3">
        <v>22</v>
      </c>
    </row>
    <row r="476" spans="1:4" x14ac:dyDescent="0.3">
      <c r="A476" s="3" t="s">
        <v>99</v>
      </c>
      <c r="B476" s="3" t="s">
        <v>208</v>
      </c>
      <c r="C476" s="3">
        <v>20</v>
      </c>
      <c r="D476" s="3">
        <v>22</v>
      </c>
    </row>
    <row r="477" spans="1:4" x14ac:dyDescent="0.3">
      <c r="A477" s="3" t="s">
        <v>107</v>
      </c>
      <c r="B477" s="3" t="s">
        <v>208</v>
      </c>
      <c r="C477" s="3">
        <v>19</v>
      </c>
      <c r="D477" s="3">
        <v>22</v>
      </c>
    </row>
    <row r="478" spans="1:4" x14ac:dyDescent="0.3">
      <c r="A478" s="3" t="s">
        <v>111</v>
      </c>
      <c r="B478" s="3" t="s">
        <v>208</v>
      </c>
      <c r="C478" s="3">
        <v>19</v>
      </c>
      <c r="D478" s="3">
        <v>22</v>
      </c>
    </row>
    <row r="479" spans="1:4" x14ac:dyDescent="0.3">
      <c r="A479" s="3" t="s">
        <v>115</v>
      </c>
      <c r="B479" s="3" t="s">
        <v>208</v>
      </c>
      <c r="C479" s="3">
        <v>21</v>
      </c>
      <c r="D479" s="3">
        <v>22</v>
      </c>
    </row>
    <row r="480" spans="1:4" x14ac:dyDescent="0.3">
      <c r="A480" s="3" t="s">
        <v>119</v>
      </c>
      <c r="B480" s="3" t="s">
        <v>208</v>
      </c>
      <c r="C480" s="3">
        <v>19</v>
      </c>
      <c r="D480" s="3">
        <v>22</v>
      </c>
    </row>
    <row r="481" spans="1:4" x14ac:dyDescent="0.3">
      <c r="A481" s="3" t="s">
        <v>123</v>
      </c>
      <c r="B481" s="3" t="s">
        <v>208</v>
      </c>
      <c r="C481" s="3">
        <v>21</v>
      </c>
      <c r="D481" s="3">
        <v>22</v>
      </c>
    </row>
    <row r="482" spans="1:4" x14ac:dyDescent="0.3">
      <c r="A482" s="3" t="s">
        <v>127</v>
      </c>
      <c r="B482" s="3" t="s">
        <v>208</v>
      </c>
      <c r="C482" s="3">
        <v>20</v>
      </c>
      <c r="D482" s="3">
        <v>22</v>
      </c>
    </row>
    <row r="483" spans="1:4" x14ac:dyDescent="0.3">
      <c r="A483" s="3" t="s">
        <v>131</v>
      </c>
      <c r="B483" s="3" t="s">
        <v>208</v>
      </c>
      <c r="C483" s="3">
        <v>21</v>
      </c>
      <c r="D483" s="3">
        <v>22</v>
      </c>
    </row>
    <row r="484" spans="1:4" x14ac:dyDescent="0.3">
      <c r="A484" s="3" t="s">
        <v>135</v>
      </c>
      <c r="B484" s="3" t="s">
        <v>208</v>
      </c>
      <c r="C484" s="3">
        <v>20</v>
      </c>
      <c r="D484" s="3">
        <v>22</v>
      </c>
    </row>
    <row r="485" spans="1:4" x14ac:dyDescent="0.3">
      <c r="A485" s="3" t="s">
        <v>139</v>
      </c>
      <c r="B485" s="3" t="s">
        <v>208</v>
      </c>
      <c r="C485" s="3">
        <v>20</v>
      </c>
      <c r="D485" s="3">
        <v>22</v>
      </c>
    </row>
    <row r="486" spans="1:4" x14ac:dyDescent="0.3">
      <c r="A486" s="3" t="s">
        <v>143</v>
      </c>
      <c r="B486" s="3" t="s">
        <v>208</v>
      </c>
      <c r="C486" s="3">
        <v>19</v>
      </c>
      <c r="D486" s="3">
        <v>22</v>
      </c>
    </row>
    <row r="487" spans="1:4" x14ac:dyDescent="0.3">
      <c r="A487" s="3" t="s">
        <v>147</v>
      </c>
      <c r="B487" s="3" t="s">
        <v>208</v>
      </c>
      <c r="C487" s="3">
        <v>20</v>
      </c>
      <c r="D487" s="3">
        <v>22</v>
      </c>
    </row>
    <row r="488" spans="1:4" x14ac:dyDescent="0.3">
      <c r="A488" s="3" t="s">
        <v>151</v>
      </c>
      <c r="B488" s="3" t="s">
        <v>208</v>
      </c>
      <c r="C488" s="3">
        <v>21</v>
      </c>
      <c r="D488" s="3">
        <v>22</v>
      </c>
    </row>
    <row r="489" spans="1:4" x14ac:dyDescent="0.3">
      <c r="A489" s="3" t="s">
        <v>155</v>
      </c>
      <c r="B489" s="3" t="s">
        <v>208</v>
      </c>
      <c r="C489" s="3">
        <v>20</v>
      </c>
      <c r="D489" s="3">
        <v>22</v>
      </c>
    </row>
    <row r="490" spans="1:4" x14ac:dyDescent="0.3">
      <c r="A490" s="3" t="s">
        <v>159</v>
      </c>
      <c r="B490" s="3" t="s">
        <v>208</v>
      </c>
      <c r="C490" s="3">
        <v>21</v>
      </c>
      <c r="D490" s="3">
        <v>22</v>
      </c>
    </row>
    <row r="491" spans="1:4" x14ac:dyDescent="0.3">
      <c r="A491" s="3" t="s">
        <v>163</v>
      </c>
      <c r="B491" s="3" t="s">
        <v>208</v>
      </c>
      <c r="C491" s="3">
        <v>21</v>
      </c>
      <c r="D491" s="3">
        <v>22</v>
      </c>
    </row>
    <row r="492" spans="1:4" x14ac:dyDescent="0.3">
      <c r="A492" s="3" t="s">
        <v>39</v>
      </c>
      <c r="B492" s="3" t="s">
        <v>209</v>
      </c>
      <c r="C492" s="3">
        <v>22</v>
      </c>
      <c r="D492" s="3">
        <v>22</v>
      </c>
    </row>
    <row r="493" spans="1:4" x14ac:dyDescent="0.3">
      <c r="A493" s="3" t="s">
        <v>44</v>
      </c>
      <c r="B493" s="3" t="s">
        <v>209</v>
      </c>
      <c r="C493" s="3">
        <v>20</v>
      </c>
      <c r="D493" s="3">
        <v>22</v>
      </c>
    </row>
    <row r="494" spans="1:4" x14ac:dyDescent="0.3">
      <c r="A494" s="3" t="s">
        <v>49</v>
      </c>
      <c r="B494" s="3" t="s">
        <v>209</v>
      </c>
      <c r="C494" s="3">
        <v>21</v>
      </c>
      <c r="D494" s="3">
        <v>22</v>
      </c>
    </row>
    <row r="495" spans="1:4" x14ac:dyDescent="0.3">
      <c r="A495" s="3" t="s">
        <v>59</v>
      </c>
      <c r="B495" s="3" t="s">
        <v>209</v>
      </c>
      <c r="C495" s="3">
        <v>20</v>
      </c>
      <c r="D495" s="3">
        <v>22</v>
      </c>
    </row>
    <row r="496" spans="1:4" x14ac:dyDescent="0.3">
      <c r="A496" s="3" t="s">
        <v>64</v>
      </c>
      <c r="B496" s="3" t="s">
        <v>209</v>
      </c>
      <c r="C496" s="3">
        <v>20</v>
      </c>
      <c r="D496" s="3">
        <v>22</v>
      </c>
    </row>
    <row r="497" spans="1:4" x14ac:dyDescent="0.3">
      <c r="A497" s="3" t="s">
        <v>69</v>
      </c>
      <c r="B497" s="3" t="s">
        <v>209</v>
      </c>
      <c r="C497" s="3">
        <v>19</v>
      </c>
      <c r="D497" s="3">
        <v>22</v>
      </c>
    </row>
    <row r="498" spans="1:4" x14ac:dyDescent="0.3">
      <c r="A498" s="3" t="s">
        <v>74</v>
      </c>
      <c r="B498" s="3" t="s">
        <v>209</v>
      </c>
      <c r="C498" s="3">
        <v>21</v>
      </c>
      <c r="D498" s="3">
        <v>22</v>
      </c>
    </row>
    <row r="499" spans="1:4" x14ac:dyDescent="0.3">
      <c r="A499" s="3" t="s">
        <v>79</v>
      </c>
      <c r="B499" s="3" t="s">
        <v>209</v>
      </c>
      <c r="C499" s="3">
        <v>21</v>
      </c>
      <c r="D499" s="3">
        <v>22</v>
      </c>
    </row>
    <row r="500" spans="1:4" x14ac:dyDescent="0.3">
      <c r="A500" s="3" t="s">
        <v>83</v>
      </c>
      <c r="B500" s="3" t="s">
        <v>209</v>
      </c>
      <c r="C500" s="3">
        <v>22</v>
      </c>
      <c r="D500" s="3">
        <v>22</v>
      </c>
    </row>
    <row r="501" spans="1:4" x14ac:dyDescent="0.3">
      <c r="A501" s="3" t="s">
        <v>87</v>
      </c>
      <c r="B501" s="3" t="s">
        <v>209</v>
      </c>
      <c r="C501" s="3">
        <v>19</v>
      </c>
      <c r="D501" s="3">
        <v>22</v>
      </c>
    </row>
    <row r="502" spans="1:4" x14ac:dyDescent="0.3">
      <c r="A502" s="3" t="s">
        <v>91</v>
      </c>
      <c r="B502" s="3" t="s">
        <v>209</v>
      </c>
      <c r="C502" s="3">
        <v>19</v>
      </c>
      <c r="D502" s="3">
        <v>22</v>
      </c>
    </row>
    <row r="503" spans="1:4" x14ac:dyDescent="0.3">
      <c r="A503" s="3" t="s">
        <v>95</v>
      </c>
      <c r="B503" s="3" t="s">
        <v>209</v>
      </c>
      <c r="C503" s="3">
        <v>21</v>
      </c>
      <c r="D503" s="3">
        <v>22</v>
      </c>
    </row>
    <row r="504" spans="1:4" x14ac:dyDescent="0.3">
      <c r="A504" s="3" t="s">
        <v>99</v>
      </c>
      <c r="B504" s="3" t="s">
        <v>209</v>
      </c>
      <c r="C504" s="3">
        <v>19</v>
      </c>
      <c r="D504" s="3">
        <v>22</v>
      </c>
    </row>
    <row r="505" spans="1:4" x14ac:dyDescent="0.3">
      <c r="A505" s="3" t="s">
        <v>107</v>
      </c>
      <c r="B505" s="3" t="s">
        <v>209</v>
      </c>
      <c r="C505" s="3">
        <v>20</v>
      </c>
      <c r="D505" s="3">
        <v>22</v>
      </c>
    </row>
    <row r="506" spans="1:4" x14ac:dyDescent="0.3">
      <c r="A506" s="3" t="s">
        <v>111</v>
      </c>
      <c r="B506" s="3" t="s">
        <v>209</v>
      </c>
      <c r="C506" s="3">
        <v>20</v>
      </c>
      <c r="D506" s="3">
        <v>22</v>
      </c>
    </row>
    <row r="507" spans="1:4" x14ac:dyDescent="0.3">
      <c r="A507" s="3" t="s">
        <v>115</v>
      </c>
      <c r="B507" s="3" t="s">
        <v>209</v>
      </c>
      <c r="C507" s="3">
        <v>21</v>
      </c>
      <c r="D507" s="3">
        <v>22</v>
      </c>
    </row>
    <row r="508" spans="1:4" x14ac:dyDescent="0.3">
      <c r="A508" s="3" t="s">
        <v>119</v>
      </c>
      <c r="B508" s="3" t="s">
        <v>209</v>
      </c>
      <c r="C508" s="3">
        <v>21</v>
      </c>
      <c r="D508" s="3">
        <v>22</v>
      </c>
    </row>
    <row r="509" spans="1:4" x14ac:dyDescent="0.3">
      <c r="A509" s="3" t="s">
        <v>123</v>
      </c>
      <c r="B509" s="3" t="s">
        <v>209</v>
      </c>
      <c r="C509" s="3">
        <v>20</v>
      </c>
      <c r="D509" s="3">
        <v>22</v>
      </c>
    </row>
    <row r="510" spans="1:4" x14ac:dyDescent="0.3">
      <c r="A510" s="3" t="s">
        <v>127</v>
      </c>
      <c r="B510" s="3" t="s">
        <v>209</v>
      </c>
      <c r="C510" s="3">
        <v>21</v>
      </c>
      <c r="D510" s="3">
        <v>22</v>
      </c>
    </row>
    <row r="511" spans="1:4" x14ac:dyDescent="0.3">
      <c r="A511" s="3" t="s">
        <v>131</v>
      </c>
      <c r="B511" s="3" t="s">
        <v>209</v>
      </c>
      <c r="C511" s="3">
        <v>20</v>
      </c>
      <c r="D511" s="3">
        <v>22</v>
      </c>
    </row>
    <row r="512" spans="1:4" x14ac:dyDescent="0.3">
      <c r="A512" s="3" t="s">
        <v>135</v>
      </c>
      <c r="B512" s="3" t="s">
        <v>209</v>
      </c>
      <c r="C512" s="3">
        <v>19</v>
      </c>
      <c r="D512" s="3">
        <v>22</v>
      </c>
    </row>
    <row r="513" spans="1:4" x14ac:dyDescent="0.3">
      <c r="A513" s="3" t="s">
        <v>139</v>
      </c>
      <c r="B513" s="3" t="s">
        <v>209</v>
      </c>
      <c r="C513" s="3">
        <v>21</v>
      </c>
      <c r="D513" s="3">
        <v>22</v>
      </c>
    </row>
    <row r="514" spans="1:4" x14ac:dyDescent="0.3">
      <c r="A514" s="3" t="s">
        <v>143</v>
      </c>
      <c r="B514" s="3" t="s">
        <v>209</v>
      </c>
      <c r="C514" s="3">
        <v>22</v>
      </c>
      <c r="D514" s="3">
        <v>22</v>
      </c>
    </row>
    <row r="515" spans="1:4" x14ac:dyDescent="0.3">
      <c r="A515" s="3" t="s">
        <v>147</v>
      </c>
      <c r="B515" s="3" t="s">
        <v>209</v>
      </c>
      <c r="C515" s="3">
        <v>20</v>
      </c>
      <c r="D515" s="3">
        <v>22</v>
      </c>
    </row>
    <row r="516" spans="1:4" x14ac:dyDescent="0.3">
      <c r="A516" s="3" t="s">
        <v>151</v>
      </c>
      <c r="B516" s="3" t="s">
        <v>209</v>
      </c>
      <c r="C516" s="3">
        <v>19</v>
      </c>
      <c r="D516" s="3">
        <v>22</v>
      </c>
    </row>
    <row r="517" spans="1:4" x14ac:dyDescent="0.3">
      <c r="A517" s="3" t="s">
        <v>155</v>
      </c>
      <c r="B517" s="3" t="s">
        <v>209</v>
      </c>
      <c r="C517" s="3">
        <v>21</v>
      </c>
      <c r="D517" s="3">
        <v>22</v>
      </c>
    </row>
    <row r="518" spans="1:4" x14ac:dyDescent="0.3">
      <c r="A518" s="3" t="s">
        <v>159</v>
      </c>
      <c r="B518" s="3" t="s">
        <v>209</v>
      </c>
      <c r="C518" s="3">
        <v>19</v>
      </c>
      <c r="D518" s="3">
        <v>22</v>
      </c>
    </row>
    <row r="519" spans="1:4" x14ac:dyDescent="0.3">
      <c r="A519" s="3" t="s">
        <v>163</v>
      </c>
      <c r="B519" s="3" t="s">
        <v>209</v>
      </c>
      <c r="C519" s="3">
        <v>19</v>
      </c>
      <c r="D519" s="3">
        <v>22</v>
      </c>
    </row>
    <row r="520" spans="1:4" x14ac:dyDescent="0.3">
      <c r="A520" s="3" t="s">
        <v>39</v>
      </c>
      <c r="B520" s="3" t="s">
        <v>210</v>
      </c>
      <c r="C520" s="3">
        <v>19</v>
      </c>
      <c r="D520" s="3">
        <v>22</v>
      </c>
    </row>
    <row r="521" spans="1:4" x14ac:dyDescent="0.3">
      <c r="A521" s="3" t="s">
        <v>44</v>
      </c>
      <c r="B521" s="3" t="s">
        <v>210</v>
      </c>
      <c r="C521" s="3">
        <v>20</v>
      </c>
      <c r="D521" s="3">
        <v>22</v>
      </c>
    </row>
    <row r="522" spans="1:4" x14ac:dyDescent="0.3">
      <c r="A522" s="3" t="s">
        <v>49</v>
      </c>
      <c r="B522" s="3" t="s">
        <v>210</v>
      </c>
      <c r="C522" s="3">
        <v>20</v>
      </c>
      <c r="D522" s="3">
        <v>22</v>
      </c>
    </row>
    <row r="523" spans="1:4" x14ac:dyDescent="0.3">
      <c r="A523" s="3" t="s">
        <v>59</v>
      </c>
      <c r="B523" s="3" t="s">
        <v>210</v>
      </c>
      <c r="C523" s="3">
        <v>22</v>
      </c>
      <c r="D523" s="3">
        <v>22</v>
      </c>
    </row>
    <row r="524" spans="1:4" x14ac:dyDescent="0.3">
      <c r="A524" s="3" t="s">
        <v>64</v>
      </c>
      <c r="B524" s="3" t="s">
        <v>210</v>
      </c>
      <c r="C524" s="3">
        <v>21</v>
      </c>
      <c r="D524" s="3">
        <v>22</v>
      </c>
    </row>
    <row r="525" spans="1:4" x14ac:dyDescent="0.3">
      <c r="A525" s="3" t="s">
        <v>69</v>
      </c>
      <c r="B525" s="3" t="s">
        <v>210</v>
      </c>
      <c r="C525" s="3">
        <v>19</v>
      </c>
      <c r="D525" s="3">
        <v>22</v>
      </c>
    </row>
    <row r="526" spans="1:4" x14ac:dyDescent="0.3">
      <c r="A526" s="3" t="s">
        <v>74</v>
      </c>
      <c r="B526" s="3" t="s">
        <v>210</v>
      </c>
      <c r="C526" s="3">
        <v>20</v>
      </c>
      <c r="D526" s="3">
        <v>22</v>
      </c>
    </row>
    <row r="527" spans="1:4" x14ac:dyDescent="0.3">
      <c r="A527" s="3" t="s">
        <v>79</v>
      </c>
      <c r="B527" s="3" t="s">
        <v>210</v>
      </c>
      <c r="C527" s="3">
        <v>21</v>
      </c>
      <c r="D527" s="3">
        <v>22</v>
      </c>
    </row>
    <row r="528" spans="1:4" x14ac:dyDescent="0.3">
      <c r="A528" s="3" t="s">
        <v>83</v>
      </c>
      <c r="B528" s="3" t="s">
        <v>210</v>
      </c>
      <c r="C528" s="3">
        <v>19</v>
      </c>
      <c r="D528" s="3">
        <v>22</v>
      </c>
    </row>
    <row r="529" spans="1:4" x14ac:dyDescent="0.3">
      <c r="A529" s="3" t="s">
        <v>87</v>
      </c>
      <c r="B529" s="3" t="s">
        <v>210</v>
      </c>
      <c r="C529" s="3">
        <v>19</v>
      </c>
      <c r="D529" s="3">
        <v>22</v>
      </c>
    </row>
    <row r="530" spans="1:4" x14ac:dyDescent="0.3">
      <c r="A530" s="3" t="s">
        <v>91</v>
      </c>
      <c r="B530" s="3" t="s">
        <v>210</v>
      </c>
      <c r="C530" s="3">
        <v>20</v>
      </c>
      <c r="D530" s="3">
        <v>22</v>
      </c>
    </row>
    <row r="531" spans="1:4" x14ac:dyDescent="0.3">
      <c r="A531" s="3" t="s">
        <v>95</v>
      </c>
      <c r="B531" s="3" t="s">
        <v>210</v>
      </c>
      <c r="C531" s="3">
        <v>20</v>
      </c>
      <c r="D531" s="3">
        <v>22</v>
      </c>
    </row>
    <row r="532" spans="1:4" x14ac:dyDescent="0.3">
      <c r="A532" s="3" t="s">
        <v>99</v>
      </c>
      <c r="B532" s="3" t="s">
        <v>210</v>
      </c>
      <c r="C532" s="3">
        <v>20</v>
      </c>
      <c r="D532" s="3">
        <v>22</v>
      </c>
    </row>
    <row r="533" spans="1:4" x14ac:dyDescent="0.3">
      <c r="A533" s="3" t="s">
        <v>107</v>
      </c>
      <c r="B533" s="3" t="s">
        <v>210</v>
      </c>
      <c r="C533" s="3">
        <v>21</v>
      </c>
      <c r="D533" s="3">
        <v>22</v>
      </c>
    </row>
    <row r="534" spans="1:4" x14ac:dyDescent="0.3">
      <c r="A534" s="3" t="s">
        <v>115</v>
      </c>
      <c r="B534" s="3" t="s">
        <v>210</v>
      </c>
      <c r="C534" s="3">
        <v>22</v>
      </c>
      <c r="D534" s="3">
        <v>22</v>
      </c>
    </row>
    <row r="535" spans="1:4" x14ac:dyDescent="0.3">
      <c r="A535" s="3" t="s">
        <v>119</v>
      </c>
      <c r="B535" s="3" t="s">
        <v>210</v>
      </c>
      <c r="C535" s="3">
        <v>19</v>
      </c>
      <c r="D535" s="3">
        <v>22</v>
      </c>
    </row>
    <row r="536" spans="1:4" x14ac:dyDescent="0.3">
      <c r="A536" s="3" t="s">
        <v>123</v>
      </c>
      <c r="B536" s="3" t="s">
        <v>210</v>
      </c>
      <c r="C536" s="3">
        <v>22</v>
      </c>
      <c r="D536" s="3">
        <v>22</v>
      </c>
    </row>
    <row r="537" spans="1:4" x14ac:dyDescent="0.3">
      <c r="A537" s="3" t="s">
        <v>127</v>
      </c>
      <c r="B537" s="3" t="s">
        <v>210</v>
      </c>
      <c r="C537" s="3">
        <v>19</v>
      </c>
      <c r="D537" s="3">
        <v>22</v>
      </c>
    </row>
    <row r="538" spans="1:4" x14ac:dyDescent="0.3">
      <c r="A538" s="3" t="s">
        <v>131</v>
      </c>
      <c r="B538" s="3" t="s">
        <v>210</v>
      </c>
      <c r="C538" s="3">
        <v>19</v>
      </c>
      <c r="D538" s="3">
        <v>22</v>
      </c>
    </row>
    <row r="539" spans="1:4" x14ac:dyDescent="0.3">
      <c r="A539" s="3" t="s">
        <v>135</v>
      </c>
      <c r="B539" s="3" t="s">
        <v>210</v>
      </c>
      <c r="C539" s="3">
        <v>21</v>
      </c>
      <c r="D539" s="3">
        <v>22</v>
      </c>
    </row>
    <row r="540" spans="1:4" x14ac:dyDescent="0.3">
      <c r="A540" s="3" t="s">
        <v>139</v>
      </c>
      <c r="B540" s="3" t="s">
        <v>210</v>
      </c>
      <c r="C540" s="3">
        <v>20</v>
      </c>
      <c r="D540" s="3">
        <v>22</v>
      </c>
    </row>
    <row r="541" spans="1:4" x14ac:dyDescent="0.3">
      <c r="A541" s="3" t="s">
        <v>143</v>
      </c>
      <c r="B541" s="3" t="s">
        <v>210</v>
      </c>
      <c r="C541" s="3">
        <v>21</v>
      </c>
      <c r="D541" s="3">
        <v>22</v>
      </c>
    </row>
    <row r="542" spans="1:4" x14ac:dyDescent="0.3">
      <c r="A542" s="3" t="s">
        <v>147</v>
      </c>
      <c r="B542" s="3" t="s">
        <v>210</v>
      </c>
      <c r="C542" s="3">
        <v>22</v>
      </c>
      <c r="D542" s="3">
        <v>22</v>
      </c>
    </row>
    <row r="543" spans="1:4" x14ac:dyDescent="0.3">
      <c r="A543" s="3" t="s">
        <v>151</v>
      </c>
      <c r="B543" s="3" t="s">
        <v>210</v>
      </c>
      <c r="C543" s="3">
        <v>20</v>
      </c>
      <c r="D543" s="3">
        <v>22</v>
      </c>
    </row>
    <row r="544" spans="1:4" x14ac:dyDescent="0.3">
      <c r="A544" s="3" t="s">
        <v>155</v>
      </c>
      <c r="B544" s="3" t="s">
        <v>210</v>
      </c>
      <c r="C544" s="3">
        <v>22</v>
      </c>
      <c r="D544" s="3">
        <v>22</v>
      </c>
    </row>
    <row r="545" spans="1:4" x14ac:dyDescent="0.3">
      <c r="A545" s="3" t="s">
        <v>159</v>
      </c>
      <c r="B545" s="3" t="s">
        <v>210</v>
      </c>
      <c r="C545" s="3">
        <v>19</v>
      </c>
      <c r="D545" s="3">
        <v>22</v>
      </c>
    </row>
    <row r="546" spans="1:4" x14ac:dyDescent="0.3">
      <c r="A546" s="3" t="s">
        <v>163</v>
      </c>
      <c r="B546" s="3" t="s">
        <v>210</v>
      </c>
      <c r="C546" s="3">
        <v>22</v>
      </c>
      <c r="D546" s="3">
        <v>22</v>
      </c>
    </row>
    <row r="547" spans="1:4" x14ac:dyDescent="0.3">
      <c r="A547" s="3" t="s">
        <v>39</v>
      </c>
      <c r="B547" s="3" t="s">
        <v>211</v>
      </c>
      <c r="C547" s="3">
        <v>22</v>
      </c>
      <c r="D547" s="3">
        <v>22</v>
      </c>
    </row>
    <row r="548" spans="1:4" x14ac:dyDescent="0.3">
      <c r="A548" s="3" t="s">
        <v>44</v>
      </c>
      <c r="B548" s="3" t="s">
        <v>211</v>
      </c>
      <c r="C548" s="3">
        <v>22</v>
      </c>
      <c r="D548" s="3">
        <v>22</v>
      </c>
    </row>
    <row r="549" spans="1:4" x14ac:dyDescent="0.3">
      <c r="A549" s="3" t="s">
        <v>49</v>
      </c>
      <c r="B549" s="3" t="s">
        <v>211</v>
      </c>
      <c r="C549" s="3">
        <v>21</v>
      </c>
      <c r="D549" s="3">
        <v>22</v>
      </c>
    </row>
    <row r="550" spans="1:4" x14ac:dyDescent="0.3">
      <c r="A550" s="3" t="s">
        <v>59</v>
      </c>
      <c r="B550" s="3" t="s">
        <v>211</v>
      </c>
      <c r="C550" s="3">
        <v>21</v>
      </c>
      <c r="D550" s="3">
        <v>22</v>
      </c>
    </row>
    <row r="551" spans="1:4" x14ac:dyDescent="0.3">
      <c r="A551" s="3" t="s">
        <v>64</v>
      </c>
      <c r="B551" s="3" t="s">
        <v>211</v>
      </c>
      <c r="C551" s="3">
        <v>21</v>
      </c>
      <c r="D551" s="3">
        <v>22</v>
      </c>
    </row>
    <row r="552" spans="1:4" x14ac:dyDescent="0.3">
      <c r="A552" s="3" t="s">
        <v>69</v>
      </c>
      <c r="B552" s="3" t="s">
        <v>211</v>
      </c>
      <c r="C552" s="3">
        <v>21</v>
      </c>
      <c r="D552" s="3">
        <v>22</v>
      </c>
    </row>
    <row r="553" spans="1:4" x14ac:dyDescent="0.3">
      <c r="A553" s="3" t="s">
        <v>74</v>
      </c>
      <c r="B553" s="3" t="s">
        <v>211</v>
      </c>
      <c r="C553" s="3">
        <v>21</v>
      </c>
      <c r="D553" s="3">
        <v>22</v>
      </c>
    </row>
    <row r="554" spans="1:4" x14ac:dyDescent="0.3">
      <c r="A554" s="3" t="s">
        <v>79</v>
      </c>
      <c r="B554" s="3" t="s">
        <v>211</v>
      </c>
      <c r="C554" s="3">
        <v>22</v>
      </c>
      <c r="D554" s="3">
        <v>22</v>
      </c>
    </row>
    <row r="555" spans="1:4" x14ac:dyDescent="0.3">
      <c r="A555" s="3" t="s">
        <v>83</v>
      </c>
      <c r="B555" s="3" t="s">
        <v>211</v>
      </c>
      <c r="C555" s="3">
        <v>20</v>
      </c>
      <c r="D555" s="3">
        <v>22</v>
      </c>
    </row>
    <row r="556" spans="1:4" x14ac:dyDescent="0.3">
      <c r="A556" s="3" t="s">
        <v>87</v>
      </c>
      <c r="B556" s="3" t="s">
        <v>211</v>
      </c>
      <c r="C556" s="3">
        <v>21</v>
      </c>
      <c r="D556" s="3">
        <v>22</v>
      </c>
    </row>
    <row r="557" spans="1:4" x14ac:dyDescent="0.3">
      <c r="A557" s="3" t="s">
        <v>91</v>
      </c>
      <c r="B557" s="3" t="s">
        <v>211</v>
      </c>
      <c r="C557" s="3">
        <v>21</v>
      </c>
      <c r="D557" s="3">
        <v>22</v>
      </c>
    </row>
    <row r="558" spans="1:4" x14ac:dyDescent="0.3">
      <c r="A558" s="3" t="s">
        <v>95</v>
      </c>
      <c r="B558" s="3" t="s">
        <v>211</v>
      </c>
      <c r="C558" s="3">
        <v>19</v>
      </c>
      <c r="D558" s="3">
        <v>22</v>
      </c>
    </row>
    <row r="559" spans="1:4" x14ac:dyDescent="0.3">
      <c r="A559" s="3" t="s">
        <v>99</v>
      </c>
      <c r="B559" s="3" t="s">
        <v>211</v>
      </c>
      <c r="C559" s="3">
        <v>19</v>
      </c>
      <c r="D559" s="3">
        <v>22</v>
      </c>
    </row>
    <row r="560" spans="1:4" x14ac:dyDescent="0.3">
      <c r="A560" s="3" t="s">
        <v>107</v>
      </c>
      <c r="B560" s="3" t="s">
        <v>211</v>
      </c>
      <c r="C560" s="3">
        <v>20</v>
      </c>
      <c r="D560" s="3">
        <v>22</v>
      </c>
    </row>
    <row r="561" spans="1:4" x14ac:dyDescent="0.3">
      <c r="A561" s="3" t="s">
        <v>115</v>
      </c>
      <c r="B561" s="3" t="s">
        <v>211</v>
      </c>
      <c r="C561" s="3">
        <v>19</v>
      </c>
      <c r="D561" s="3">
        <v>22</v>
      </c>
    </row>
    <row r="562" spans="1:4" x14ac:dyDescent="0.3">
      <c r="A562" s="3" t="s">
        <v>119</v>
      </c>
      <c r="B562" s="3" t="s">
        <v>211</v>
      </c>
      <c r="C562" s="3">
        <v>20</v>
      </c>
      <c r="D562" s="3">
        <v>22</v>
      </c>
    </row>
    <row r="563" spans="1:4" x14ac:dyDescent="0.3">
      <c r="A563" s="3" t="s">
        <v>123</v>
      </c>
      <c r="B563" s="3" t="s">
        <v>211</v>
      </c>
      <c r="C563" s="3">
        <v>22</v>
      </c>
      <c r="D563" s="3">
        <v>22</v>
      </c>
    </row>
    <row r="564" spans="1:4" x14ac:dyDescent="0.3">
      <c r="A564" s="3" t="s">
        <v>127</v>
      </c>
      <c r="B564" s="3" t="s">
        <v>211</v>
      </c>
      <c r="C564" s="3">
        <v>21</v>
      </c>
      <c r="D564" s="3">
        <v>22</v>
      </c>
    </row>
    <row r="565" spans="1:4" x14ac:dyDescent="0.3">
      <c r="A565" s="3" t="s">
        <v>131</v>
      </c>
      <c r="B565" s="3" t="s">
        <v>211</v>
      </c>
      <c r="C565" s="3">
        <v>19</v>
      </c>
      <c r="D565" s="3">
        <v>22</v>
      </c>
    </row>
    <row r="566" spans="1:4" x14ac:dyDescent="0.3">
      <c r="A566" s="3" t="s">
        <v>135</v>
      </c>
      <c r="B566" s="3" t="s">
        <v>211</v>
      </c>
      <c r="C566" s="3">
        <v>21</v>
      </c>
      <c r="D566" s="3">
        <v>22</v>
      </c>
    </row>
    <row r="567" spans="1:4" x14ac:dyDescent="0.3">
      <c r="A567" s="3" t="s">
        <v>139</v>
      </c>
      <c r="B567" s="3" t="s">
        <v>211</v>
      </c>
      <c r="C567" s="3">
        <v>21</v>
      </c>
      <c r="D567" s="3">
        <v>22</v>
      </c>
    </row>
    <row r="568" spans="1:4" x14ac:dyDescent="0.3">
      <c r="A568" s="3" t="s">
        <v>143</v>
      </c>
      <c r="B568" s="3" t="s">
        <v>211</v>
      </c>
      <c r="C568" s="3">
        <v>19</v>
      </c>
      <c r="D568" s="3">
        <v>22</v>
      </c>
    </row>
    <row r="569" spans="1:4" x14ac:dyDescent="0.3">
      <c r="A569" s="3" t="s">
        <v>147</v>
      </c>
      <c r="B569" s="3" t="s">
        <v>211</v>
      </c>
      <c r="C569" s="3">
        <v>21</v>
      </c>
      <c r="D569" s="3">
        <v>22</v>
      </c>
    </row>
    <row r="570" spans="1:4" x14ac:dyDescent="0.3">
      <c r="A570" s="3" t="s">
        <v>151</v>
      </c>
      <c r="B570" s="3" t="s">
        <v>211</v>
      </c>
      <c r="C570" s="3">
        <v>19</v>
      </c>
      <c r="D570" s="3">
        <v>22</v>
      </c>
    </row>
    <row r="571" spans="1:4" x14ac:dyDescent="0.3">
      <c r="A571" s="3" t="s">
        <v>155</v>
      </c>
      <c r="B571" s="3" t="s">
        <v>211</v>
      </c>
      <c r="C571" s="3">
        <v>20</v>
      </c>
      <c r="D571" s="3">
        <v>22</v>
      </c>
    </row>
    <row r="572" spans="1:4" x14ac:dyDescent="0.3">
      <c r="A572" s="3" t="s">
        <v>159</v>
      </c>
      <c r="B572" s="3" t="s">
        <v>211</v>
      </c>
      <c r="C572" s="3">
        <v>22</v>
      </c>
      <c r="D572" s="3">
        <v>22</v>
      </c>
    </row>
    <row r="573" spans="1:4" x14ac:dyDescent="0.3">
      <c r="A573" s="3" t="s">
        <v>163</v>
      </c>
      <c r="B573" s="3" t="s">
        <v>211</v>
      </c>
      <c r="C573" s="3">
        <v>22</v>
      </c>
      <c r="D573" s="3">
        <v>22</v>
      </c>
    </row>
    <row r="574" spans="1:4" x14ac:dyDescent="0.3">
      <c r="A574" s="3" t="s">
        <v>39</v>
      </c>
      <c r="B574" s="3" t="s">
        <v>212</v>
      </c>
      <c r="C574" s="3">
        <v>20</v>
      </c>
      <c r="D574" s="3">
        <v>22</v>
      </c>
    </row>
    <row r="575" spans="1:4" x14ac:dyDescent="0.3">
      <c r="A575" s="3" t="s">
        <v>44</v>
      </c>
      <c r="B575" s="3" t="s">
        <v>212</v>
      </c>
      <c r="C575" s="3">
        <v>20</v>
      </c>
      <c r="D575" s="3">
        <v>22</v>
      </c>
    </row>
    <row r="576" spans="1:4" x14ac:dyDescent="0.3">
      <c r="A576" s="3" t="s">
        <v>49</v>
      </c>
      <c r="B576" s="3" t="s">
        <v>212</v>
      </c>
      <c r="C576" s="3">
        <v>19</v>
      </c>
      <c r="D576" s="3">
        <v>22</v>
      </c>
    </row>
    <row r="577" spans="1:4" x14ac:dyDescent="0.3">
      <c r="A577" s="3" t="s">
        <v>59</v>
      </c>
      <c r="B577" s="3" t="s">
        <v>212</v>
      </c>
      <c r="C577" s="3">
        <v>19</v>
      </c>
      <c r="D577" s="3">
        <v>22</v>
      </c>
    </row>
    <row r="578" spans="1:4" x14ac:dyDescent="0.3">
      <c r="A578" s="3" t="s">
        <v>64</v>
      </c>
      <c r="B578" s="3" t="s">
        <v>212</v>
      </c>
      <c r="C578" s="3">
        <v>22</v>
      </c>
      <c r="D578" s="3">
        <v>22</v>
      </c>
    </row>
    <row r="579" spans="1:4" x14ac:dyDescent="0.3">
      <c r="A579" s="3" t="s">
        <v>69</v>
      </c>
      <c r="B579" s="3" t="s">
        <v>212</v>
      </c>
      <c r="C579" s="3">
        <v>20</v>
      </c>
      <c r="D579" s="3">
        <v>22</v>
      </c>
    </row>
    <row r="580" spans="1:4" x14ac:dyDescent="0.3">
      <c r="A580" s="3" t="s">
        <v>74</v>
      </c>
      <c r="B580" s="3" t="s">
        <v>212</v>
      </c>
      <c r="C580" s="3">
        <v>20</v>
      </c>
      <c r="D580" s="3">
        <v>22</v>
      </c>
    </row>
    <row r="581" spans="1:4" x14ac:dyDescent="0.3">
      <c r="A581" s="3" t="s">
        <v>79</v>
      </c>
      <c r="B581" s="3" t="s">
        <v>212</v>
      </c>
      <c r="C581" s="3">
        <v>19</v>
      </c>
      <c r="D581" s="3">
        <v>22</v>
      </c>
    </row>
    <row r="582" spans="1:4" x14ac:dyDescent="0.3">
      <c r="A582" s="3" t="s">
        <v>83</v>
      </c>
      <c r="B582" s="3" t="s">
        <v>212</v>
      </c>
      <c r="C582" s="3">
        <v>19</v>
      </c>
      <c r="D582" s="3">
        <v>22</v>
      </c>
    </row>
    <row r="583" spans="1:4" x14ac:dyDescent="0.3">
      <c r="A583" s="3" t="s">
        <v>87</v>
      </c>
      <c r="B583" s="3" t="s">
        <v>212</v>
      </c>
      <c r="C583" s="3">
        <v>22</v>
      </c>
      <c r="D583" s="3">
        <v>22</v>
      </c>
    </row>
    <row r="584" spans="1:4" x14ac:dyDescent="0.3">
      <c r="A584" s="3" t="s">
        <v>91</v>
      </c>
      <c r="B584" s="3" t="s">
        <v>212</v>
      </c>
      <c r="C584" s="3">
        <v>22</v>
      </c>
      <c r="D584" s="3">
        <v>22</v>
      </c>
    </row>
    <row r="585" spans="1:4" x14ac:dyDescent="0.3">
      <c r="A585" s="3" t="s">
        <v>95</v>
      </c>
      <c r="B585" s="3" t="s">
        <v>212</v>
      </c>
      <c r="C585" s="3">
        <v>19</v>
      </c>
      <c r="D585" s="3">
        <v>22</v>
      </c>
    </row>
    <row r="586" spans="1:4" x14ac:dyDescent="0.3">
      <c r="A586" s="3" t="s">
        <v>99</v>
      </c>
      <c r="B586" s="3" t="s">
        <v>212</v>
      </c>
      <c r="C586" s="3">
        <v>20</v>
      </c>
      <c r="D586" s="3">
        <v>22</v>
      </c>
    </row>
    <row r="587" spans="1:4" x14ac:dyDescent="0.3">
      <c r="A587" s="3" t="s">
        <v>107</v>
      </c>
      <c r="B587" s="3" t="s">
        <v>212</v>
      </c>
      <c r="C587" s="3">
        <v>19</v>
      </c>
      <c r="D587" s="3">
        <v>22</v>
      </c>
    </row>
    <row r="588" spans="1:4" x14ac:dyDescent="0.3">
      <c r="A588" s="3" t="s">
        <v>115</v>
      </c>
      <c r="B588" s="3" t="s">
        <v>212</v>
      </c>
      <c r="C588" s="3">
        <v>21</v>
      </c>
      <c r="D588" s="3">
        <v>22</v>
      </c>
    </row>
    <row r="589" spans="1:4" x14ac:dyDescent="0.3">
      <c r="A589" s="3" t="s">
        <v>119</v>
      </c>
      <c r="B589" s="3" t="s">
        <v>212</v>
      </c>
      <c r="C589" s="3">
        <v>20</v>
      </c>
      <c r="D589" s="3">
        <v>22</v>
      </c>
    </row>
    <row r="590" spans="1:4" x14ac:dyDescent="0.3">
      <c r="A590" s="3" t="s">
        <v>123</v>
      </c>
      <c r="B590" s="3" t="s">
        <v>212</v>
      </c>
      <c r="C590" s="3">
        <v>19</v>
      </c>
      <c r="D590" s="3">
        <v>22</v>
      </c>
    </row>
    <row r="591" spans="1:4" x14ac:dyDescent="0.3">
      <c r="A591" s="3" t="s">
        <v>127</v>
      </c>
      <c r="B591" s="3" t="s">
        <v>212</v>
      </c>
      <c r="C591" s="3">
        <v>21</v>
      </c>
      <c r="D591" s="3">
        <v>22</v>
      </c>
    </row>
    <row r="592" spans="1:4" x14ac:dyDescent="0.3">
      <c r="A592" s="3" t="s">
        <v>131</v>
      </c>
      <c r="B592" s="3" t="s">
        <v>212</v>
      </c>
      <c r="C592" s="3">
        <v>22</v>
      </c>
      <c r="D592" s="3">
        <v>22</v>
      </c>
    </row>
    <row r="593" spans="1:4" x14ac:dyDescent="0.3">
      <c r="A593" s="3" t="s">
        <v>135</v>
      </c>
      <c r="B593" s="3" t="s">
        <v>212</v>
      </c>
      <c r="C593" s="3">
        <v>20</v>
      </c>
      <c r="D593" s="3">
        <v>22</v>
      </c>
    </row>
    <row r="594" spans="1:4" x14ac:dyDescent="0.3">
      <c r="A594" s="3" t="s">
        <v>139</v>
      </c>
      <c r="B594" s="3" t="s">
        <v>212</v>
      </c>
      <c r="C594" s="3">
        <v>22</v>
      </c>
      <c r="D594" s="3">
        <v>22</v>
      </c>
    </row>
    <row r="595" spans="1:4" x14ac:dyDescent="0.3">
      <c r="A595" s="3" t="s">
        <v>143</v>
      </c>
      <c r="B595" s="3" t="s">
        <v>212</v>
      </c>
      <c r="C595" s="3">
        <v>22</v>
      </c>
      <c r="D595" s="3">
        <v>22</v>
      </c>
    </row>
    <row r="596" spans="1:4" x14ac:dyDescent="0.3">
      <c r="A596" s="3" t="s">
        <v>147</v>
      </c>
      <c r="B596" s="3" t="s">
        <v>212</v>
      </c>
      <c r="C596" s="3">
        <v>20</v>
      </c>
      <c r="D596" s="3">
        <v>22</v>
      </c>
    </row>
    <row r="597" spans="1:4" x14ac:dyDescent="0.3">
      <c r="A597" s="3" t="s">
        <v>151</v>
      </c>
      <c r="B597" s="3" t="s">
        <v>212</v>
      </c>
      <c r="C597" s="3">
        <v>22</v>
      </c>
      <c r="D597" s="3">
        <v>22</v>
      </c>
    </row>
    <row r="598" spans="1:4" x14ac:dyDescent="0.3">
      <c r="A598" s="3" t="s">
        <v>155</v>
      </c>
      <c r="B598" s="3" t="s">
        <v>212</v>
      </c>
      <c r="C598" s="3">
        <v>21</v>
      </c>
      <c r="D598" s="3">
        <v>22</v>
      </c>
    </row>
    <row r="599" spans="1:4" x14ac:dyDescent="0.3">
      <c r="A599" s="3" t="s">
        <v>159</v>
      </c>
      <c r="B599" s="3" t="s">
        <v>212</v>
      </c>
      <c r="C599" s="3">
        <v>20</v>
      </c>
      <c r="D599" s="3">
        <v>22</v>
      </c>
    </row>
    <row r="600" spans="1:4" x14ac:dyDescent="0.3">
      <c r="A600" s="3" t="s">
        <v>163</v>
      </c>
      <c r="B600" s="3" t="s">
        <v>212</v>
      </c>
      <c r="C600" s="3">
        <v>21</v>
      </c>
      <c r="D600" s="3">
        <v>22</v>
      </c>
    </row>
    <row r="601" spans="1:4" x14ac:dyDescent="0.3">
      <c r="A601" s="3" t="s">
        <v>39</v>
      </c>
      <c r="B601" s="3" t="s">
        <v>213</v>
      </c>
      <c r="C601" s="3">
        <v>20</v>
      </c>
      <c r="D601" s="3">
        <v>22</v>
      </c>
    </row>
    <row r="602" spans="1:4" x14ac:dyDescent="0.3">
      <c r="A602" s="3" t="s">
        <v>44</v>
      </c>
      <c r="B602" s="3" t="s">
        <v>213</v>
      </c>
      <c r="C602" s="3">
        <v>20</v>
      </c>
      <c r="D602" s="3">
        <v>22</v>
      </c>
    </row>
    <row r="603" spans="1:4" x14ac:dyDescent="0.3">
      <c r="A603" s="3" t="s">
        <v>49</v>
      </c>
      <c r="B603" s="3" t="s">
        <v>213</v>
      </c>
      <c r="C603" s="3">
        <v>22</v>
      </c>
      <c r="D603" s="3">
        <v>22</v>
      </c>
    </row>
    <row r="604" spans="1:4" x14ac:dyDescent="0.3">
      <c r="A604" s="3" t="s">
        <v>59</v>
      </c>
      <c r="B604" s="3" t="s">
        <v>213</v>
      </c>
      <c r="C604" s="3">
        <v>19</v>
      </c>
      <c r="D604" s="3">
        <v>22</v>
      </c>
    </row>
    <row r="605" spans="1:4" x14ac:dyDescent="0.3">
      <c r="A605" s="3" t="s">
        <v>64</v>
      </c>
      <c r="B605" s="3" t="s">
        <v>213</v>
      </c>
      <c r="C605" s="3">
        <v>21</v>
      </c>
      <c r="D605" s="3">
        <v>22</v>
      </c>
    </row>
    <row r="606" spans="1:4" x14ac:dyDescent="0.3">
      <c r="A606" s="3" t="s">
        <v>69</v>
      </c>
      <c r="B606" s="3" t="s">
        <v>213</v>
      </c>
      <c r="C606" s="3">
        <v>21</v>
      </c>
      <c r="D606" s="3">
        <v>22</v>
      </c>
    </row>
    <row r="607" spans="1:4" x14ac:dyDescent="0.3">
      <c r="A607" s="3" t="s">
        <v>74</v>
      </c>
      <c r="B607" s="3" t="s">
        <v>213</v>
      </c>
      <c r="C607" s="3">
        <v>20</v>
      </c>
      <c r="D607" s="3">
        <v>22</v>
      </c>
    </row>
    <row r="608" spans="1:4" x14ac:dyDescent="0.3">
      <c r="A608" s="3" t="s">
        <v>79</v>
      </c>
      <c r="B608" s="3" t="s">
        <v>213</v>
      </c>
      <c r="C608" s="3">
        <v>20</v>
      </c>
      <c r="D608" s="3">
        <v>22</v>
      </c>
    </row>
    <row r="609" spans="1:4" x14ac:dyDescent="0.3">
      <c r="A609" s="3" t="s">
        <v>83</v>
      </c>
      <c r="B609" s="3" t="s">
        <v>213</v>
      </c>
      <c r="C609" s="3">
        <v>20</v>
      </c>
      <c r="D609" s="3">
        <v>22</v>
      </c>
    </row>
    <row r="610" spans="1:4" x14ac:dyDescent="0.3">
      <c r="A610" s="3" t="s">
        <v>87</v>
      </c>
      <c r="B610" s="3" t="s">
        <v>213</v>
      </c>
      <c r="C610" s="3">
        <v>20</v>
      </c>
      <c r="D610" s="3">
        <v>22</v>
      </c>
    </row>
    <row r="611" spans="1:4" x14ac:dyDescent="0.3">
      <c r="A611" s="3" t="s">
        <v>91</v>
      </c>
      <c r="B611" s="3" t="s">
        <v>213</v>
      </c>
      <c r="C611" s="3">
        <v>20</v>
      </c>
      <c r="D611" s="3">
        <v>22</v>
      </c>
    </row>
    <row r="612" spans="1:4" x14ac:dyDescent="0.3">
      <c r="A612" s="3" t="s">
        <v>95</v>
      </c>
      <c r="B612" s="3" t="s">
        <v>213</v>
      </c>
      <c r="C612" s="3">
        <v>20</v>
      </c>
      <c r="D612" s="3">
        <v>22</v>
      </c>
    </row>
    <row r="613" spans="1:4" x14ac:dyDescent="0.3">
      <c r="A613" s="3" t="s">
        <v>99</v>
      </c>
      <c r="B613" s="3" t="s">
        <v>213</v>
      </c>
      <c r="C613" s="3">
        <v>20</v>
      </c>
      <c r="D613" s="3">
        <v>22</v>
      </c>
    </row>
    <row r="614" spans="1:4" x14ac:dyDescent="0.3">
      <c r="A614" s="3" t="s">
        <v>107</v>
      </c>
      <c r="B614" s="3" t="s">
        <v>213</v>
      </c>
      <c r="C614" s="3">
        <v>20</v>
      </c>
      <c r="D614" s="3">
        <v>22</v>
      </c>
    </row>
    <row r="615" spans="1:4" x14ac:dyDescent="0.3">
      <c r="A615" s="3" t="s">
        <v>115</v>
      </c>
      <c r="B615" s="3" t="s">
        <v>213</v>
      </c>
      <c r="C615" s="3">
        <v>19</v>
      </c>
      <c r="D615" s="3">
        <v>22</v>
      </c>
    </row>
    <row r="616" spans="1:4" x14ac:dyDescent="0.3">
      <c r="A616" s="3" t="s">
        <v>123</v>
      </c>
      <c r="B616" s="3" t="s">
        <v>213</v>
      </c>
      <c r="C616" s="3">
        <v>19</v>
      </c>
      <c r="D616" s="3">
        <v>22</v>
      </c>
    </row>
    <row r="617" spans="1:4" x14ac:dyDescent="0.3">
      <c r="A617" s="3" t="s">
        <v>127</v>
      </c>
      <c r="B617" s="3" t="s">
        <v>213</v>
      </c>
      <c r="C617" s="3">
        <v>19</v>
      </c>
      <c r="D617" s="3">
        <v>22</v>
      </c>
    </row>
    <row r="618" spans="1:4" x14ac:dyDescent="0.3">
      <c r="A618" s="3" t="s">
        <v>131</v>
      </c>
      <c r="B618" s="3" t="s">
        <v>213</v>
      </c>
      <c r="C618" s="3">
        <v>20</v>
      </c>
      <c r="D618" s="3">
        <v>22</v>
      </c>
    </row>
    <row r="619" spans="1:4" x14ac:dyDescent="0.3">
      <c r="A619" s="3" t="s">
        <v>135</v>
      </c>
      <c r="B619" s="3" t="s">
        <v>213</v>
      </c>
      <c r="C619" s="3">
        <v>20</v>
      </c>
      <c r="D619" s="3">
        <v>22</v>
      </c>
    </row>
    <row r="620" spans="1:4" x14ac:dyDescent="0.3">
      <c r="A620" s="3" t="s">
        <v>139</v>
      </c>
      <c r="B620" s="3" t="s">
        <v>213</v>
      </c>
      <c r="C620" s="3">
        <v>22</v>
      </c>
      <c r="D620" s="3">
        <v>22</v>
      </c>
    </row>
    <row r="621" spans="1:4" x14ac:dyDescent="0.3">
      <c r="A621" s="3" t="s">
        <v>143</v>
      </c>
      <c r="B621" s="3" t="s">
        <v>213</v>
      </c>
      <c r="C621" s="3">
        <v>19</v>
      </c>
      <c r="D621" s="3">
        <v>22</v>
      </c>
    </row>
    <row r="622" spans="1:4" x14ac:dyDescent="0.3">
      <c r="A622" s="3" t="s">
        <v>147</v>
      </c>
      <c r="B622" s="3" t="s">
        <v>213</v>
      </c>
      <c r="C622" s="3">
        <v>19</v>
      </c>
      <c r="D622" s="3">
        <v>22</v>
      </c>
    </row>
    <row r="623" spans="1:4" x14ac:dyDescent="0.3">
      <c r="A623" s="3" t="s">
        <v>151</v>
      </c>
      <c r="B623" s="3" t="s">
        <v>213</v>
      </c>
      <c r="C623" s="3">
        <v>19</v>
      </c>
      <c r="D623" s="3">
        <v>22</v>
      </c>
    </row>
    <row r="624" spans="1:4" x14ac:dyDescent="0.3">
      <c r="A624" s="3" t="s">
        <v>155</v>
      </c>
      <c r="B624" s="3" t="s">
        <v>213</v>
      </c>
      <c r="C624" s="3">
        <v>20</v>
      </c>
      <c r="D624" s="3">
        <v>22</v>
      </c>
    </row>
    <row r="625" spans="1:4" x14ac:dyDescent="0.3">
      <c r="A625" s="3" t="s">
        <v>159</v>
      </c>
      <c r="B625" s="3" t="s">
        <v>213</v>
      </c>
      <c r="C625" s="3">
        <v>20</v>
      </c>
      <c r="D625" s="3">
        <v>22</v>
      </c>
    </row>
    <row r="626" spans="1:4" x14ac:dyDescent="0.3">
      <c r="A626" s="3" t="s">
        <v>163</v>
      </c>
      <c r="B626" s="3" t="s">
        <v>213</v>
      </c>
      <c r="C626" s="3">
        <v>19</v>
      </c>
      <c r="D626" s="3">
        <v>22</v>
      </c>
    </row>
    <row r="627" spans="1:4" x14ac:dyDescent="0.3">
      <c r="A627" s="3" t="s">
        <v>39</v>
      </c>
      <c r="B627" s="3" t="s">
        <v>214</v>
      </c>
      <c r="C627" s="3">
        <v>17</v>
      </c>
      <c r="D627" s="3">
        <v>20</v>
      </c>
    </row>
    <row r="628" spans="1:4" x14ac:dyDescent="0.3">
      <c r="A628" s="3" t="s">
        <v>44</v>
      </c>
      <c r="B628" s="3" t="s">
        <v>214</v>
      </c>
      <c r="C628" s="3">
        <v>18</v>
      </c>
      <c r="D628" s="3">
        <v>20</v>
      </c>
    </row>
    <row r="629" spans="1:4" x14ac:dyDescent="0.3">
      <c r="A629" s="3" t="s">
        <v>49</v>
      </c>
      <c r="B629" s="3" t="s">
        <v>214</v>
      </c>
      <c r="C629" s="3">
        <v>18</v>
      </c>
      <c r="D629" s="3">
        <v>20</v>
      </c>
    </row>
    <row r="630" spans="1:4" x14ac:dyDescent="0.3">
      <c r="A630" s="3" t="s">
        <v>59</v>
      </c>
      <c r="B630" s="3" t="s">
        <v>214</v>
      </c>
      <c r="C630" s="3">
        <v>19</v>
      </c>
      <c r="D630" s="3">
        <v>20</v>
      </c>
    </row>
    <row r="631" spans="1:4" x14ac:dyDescent="0.3">
      <c r="A631" s="3" t="s">
        <v>64</v>
      </c>
      <c r="B631" s="3" t="s">
        <v>214</v>
      </c>
      <c r="C631" s="3">
        <v>20</v>
      </c>
      <c r="D631" s="3">
        <v>20</v>
      </c>
    </row>
    <row r="632" spans="1:4" x14ac:dyDescent="0.3">
      <c r="A632" s="3" t="s">
        <v>69</v>
      </c>
      <c r="B632" s="3" t="s">
        <v>214</v>
      </c>
      <c r="C632" s="3">
        <v>20</v>
      </c>
      <c r="D632" s="3">
        <v>20</v>
      </c>
    </row>
    <row r="633" spans="1:4" x14ac:dyDescent="0.3">
      <c r="A633" s="3" t="s">
        <v>74</v>
      </c>
      <c r="B633" s="3" t="s">
        <v>214</v>
      </c>
      <c r="C633" s="3">
        <v>19</v>
      </c>
      <c r="D633" s="3">
        <v>20</v>
      </c>
    </row>
    <row r="634" spans="1:4" x14ac:dyDescent="0.3">
      <c r="A634" s="3" t="s">
        <v>79</v>
      </c>
      <c r="B634" s="3" t="s">
        <v>214</v>
      </c>
      <c r="C634" s="3">
        <v>18</v>
      </c>
      <c r="D634" s="3">
        <v>20</v>
      </c>
    </row>
    <row r="635" spans="1:4" x14ac:dyDescent="0.3">
      <c r="A635" s="3" t="s">
        <v>83</v>
      </c>
      <c r="B635" s="3" t="s">
        <v>214</v>
      </c>
      <c r="C635" s="3">
        <v>19</v>
      </c>
      <c r="D635" s="3">
        <v>20</v>
      </c>
    </row>
    <row r="636" spans="1:4" x14ac:dyDescent="0.3">
      <c r="A636" s="3" t="s">
        <v>87</v>
      </c>
      <c r="B636" s="3" t="s">
        <v>214</v>
      </c>
      <c r="C636" s="3">
        <v>19</v>
      </c>
      <c r="D636" s="3">
        <v>20</v>
      </c>
    </row>
    <row r="637" spans="1:4" x14ac:dyDescent="0.3">
      <c r="A637" s="3" t="s">
        <v>91</v>
      </c>
      <c r="B637" s="3" t="s">
        <v>214</v>
      </c>
      <c r="C637" s="3">
        <v>20</v>
      </c>
      <c r="D637" s="3">
        <v>20</v>
      </c>
    </row>
    <row r="638" spans="1:4" x14ac:dyDescent="0.3">
      <c r="A638" s="3" t="s">
        <v>95</v>
      </c>
      <c r="B638" s="3" t="s">
        <v>214</v>
      </c>
      <c r="C638" s="3">
        <v>18</v>
      </c>
      <c r="D638" s="3">
        <v>20</v>
      </c>
    </row>
    <row r="639" spans="1:4" x14ac:dyDescent="0.3">
      <c r="A639" s="3" t="s">
        <v>99</v>
      </c>
      <c r="B639" s="3" t="s">
        <v>214</v>
      </c>
      <c r="C639" s="3">
        <v>17</v>
      </c>
      <c r="D639" s="3">
        <v>20</v>
      </c>
    </row>
    <row r="640" spans="1:4" x14ac:dyDescent="0.3">
      <c r="A640" s="3" t="s">
        <v>107</v>
      </c>
      <c r="B640" s="3" t="s">
        <v>214</v>
      </c>
      <c r="C640" s="3">
        <v>18</v>
      </c>
      <c r="D640" s="3">
        <v>20</v>
      </c>
    </row>
    <row r="641" spans="1:4" x14ac:dyDescent="0.3">
      <c r="A641" s="3" t="s">
        <v>115</v>
      </c>
      <c r="B641" s="3" t="s">
        <v>214</v>
      </c>
      <c r="C641" s="3">
        <v>20</v>
      </c>
      <c r="D641" s="3">
        <v>20</v>
      </c>
    </row>
    <row r="642" spans="1:4" x14ac:dyDescent="0.3">
      <c r="A642" s="3" t="s">
        <v>123</v>
      </c>
      <c r="B642" s="3" t="s">
        <v>214</v>
      </c>
      <c r="C642" s="3">
        <v>18</v>
      </c>
      <c r="D642" s="3">
        <v>20</v>
      </c>
    </row>
    <row r="643" spans="1:4" x14ac:dyDescent="0.3">
      <c r="A643" s="3" t="s">
        <v>127</v>
      </c>
      <c r="B643" s="3" t="s">
        <v>214</v>
      </c>
      <c r="C643" s="3">
        <v>20</v>
      </c>
      <c r="D643" s="3">
        <v>20</v>
      </c>
    </row>
    <row r="644" spans="1:4" x14ac:dyDescent="0.3">
      <c r="A644" s="3" t="s">
        <v>131</v>
      </c>
      <c r="B644" s="3" t="s">
        <v>214</v>
      </c>
      <c r="C644" s="3">
        <v>20</v>
      </c>
      <c r="D644" s="3">
        <v>20</v>
      </c>
    </row>
    <row r="645" spans="1:4" x14ac:dyDescent="0.3">
      <c r="A645" s="3" t="s">
        <v>135</v>
      </c>
      <c r="B645" s="3" t="s">
        <v>214</v>
      </c>
      <c r="C645" s="3">
        <v>19</v>
      </c>
      <c r="D645" s="3">
        <v>20</v>
      </c>
    </row>
    <row r="646" spans="1:4" x14ac:dyDescent="0.3">
      <c r="A646" s="3" t="s">
        <v>139</v>
      </c>
      <c r="B646" s="3" t="s">
        <v>214</v>
      </c>
      <c r="C646" s="3">
        <v>19</v>
      </c>
      <c r="D646" s="3">
        <v>20</v>
      </c>
    </row>
    <row r="647" spans="1:4" x14ac:dyDescent="0.3">
      <c r="A647" s="3" t="s">
        <v>143</v>
      </c>
      <c r="B647" s="3" t="s">
        <v>214</v>
      </c>
      <c r="C647" s="3">
        <v>18</v>
      </c>
      <c r="D647" s="3">
        <v>20</v>
      </c>
    </row>
    <row r="648" spans="1:4" x14ac:dyDescent="0.3">
      <c r="A648" s="3" t="s">
        <v>147</v>
      </c>
      <c r="B648" s="3" t="s">
        <v>214</v>
      </c>
      <c r="C648" s="3">
        <v>19</v>
      </c>
      <c r="D648" s="3">
        <v>20</v>
      </c>
    </row>
    <row r="649" spans="1:4" x14ac:dyDescent="0.3">
      <c r="A649" s="3" t="s">
        <v>151</v>
      </c>
      <c r="B649" s="3" t="s">
        <v>214</v>
      </c>
      <c r="C649" s="3">
        <v>18</v>
      </c>
      <c r="D649" s="3">
        <v>20</v>
      </c>
    </row>
    <row r="650" spans="1:4" x14ac:dyDescent="0.3">
      <c r="A650" s="3" t="s">
        <v>155</v>
      </c>
      <c r="B650" s="3" t="s">
        <v>214</v>
      </c>
      <c r="C650" s="3">
        <v>19</v>
      </c>
      <c r="D650" s="3">
        <v>20</v>
      </c>
    </row>
    <row r="651" spans="1:4" x14ac:dyDescent="0.3">
      <c r="A651" s="3" t="s">
        <v>159</v>
      </c>
      <c r="B651" s="3" t="s">
        <v>214</v>
      </c>
      <c r="C651" s="3">
        <v>19</v>
      </c>
      <c r="D651" s="3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2" customWidth="1"/>
    <col min="3" max="3" width="18" customWidth="1"/>
    <col min="4" max="5" width="12" customWidth="1"/>
    <col min="6" max="6" width="8" customWidth="1"/>
    <col min="7" max="7" width="11" customWidth="1"/>
  </cols>
  <sheetData>
    <row r="1" spans="1:7" ht="27.6" x14ac:dyDescent="0.3">
      <c r="A1" s="2" t="s">
        <v>215</v>
      </c>
      <c r="B1" s="2" t="s">
        <v>28</v>
      </c>
      <c r="C1" s="2" t="s">
        <v>3</v>
      </c>
      <c r="D1" s="2" t="s">
        <v>216</v>
      </c>
      <c r="E1" s="2" t="s">
        <v>217</v>
      </c>
      <c r="F1" s="2" t="s">
        <v>218</v>
      </c>
      <c r="G1" s="2" t="s">
        <v>2</v>
      </c>
    </row>
    <row r="2" spans="1:7" x14ac:dyDescent="0.3">
      <c r="A2" s="3" t="s">
        <v>219</v>
      </c>
      <c r="B2" s="3" t="s">
        <v>39</v>
      </c>
      <c r="C2" s="3" t="s">
        <v>20</v>
      </c>
      <c r="D2" s="4">
        <v>45274</v>
      </c>
      <c r="E2" s="4">
        <v>45278</v>
      </c>
      <c r="F2" s="3">
        <v>5</v>
      </c>
      <c r="G2" s="3" t="s">
        <v>10</v>
      </c>
    </row>
    <row r="3" spans="1:7" x14ac:dyDescent="0.3">
      <c r="A3" s="3" t="s">
        <v>220</v>
      </c>
      <c r="B3" s="3" t="s">
        <v>39</v>
      </c>
      <c r="C3" s="3" t="s">
        <v>9</v>
      </c>
      <c r="D3" s="4">
        <v>45415</v>
      </c>
      <c r="E3" s="4">
        <v>45416</v>
      </c>
      <c r="F3" s="3">
        <v>2</v>
      </c>
      <c r="G3" s="3" t="s">
        <v>10</v>
      </c>
    </row>
    <row r="4" spans="1:7" x14ac:dyDescent="0.3">
      <c r="A4" s="3" t="s">
        <v>221</v>
      </c>
      <c r="B4" s="3" t="s">
        <v>44</v>
      </c>
      <c r="C4" s="3" t="s">
        <v>24</v>
      </c>
      <c r="D4" s="4">
        <v>45900</v>
      </c>
      <c r="E4" s="4">
        <v>45902</v>
      </c>
      <c r="F4" s="3">
        <v>3</v>
      </c>
      <c r="G4" s="3" t="s">
        <v>16</v>
      </c>
    </row>
    <row r="5" spans="1:7" x14ac:dyDescent="0.3">
      <c r="A5" s="3" t="s">
        <v>222</v>
      </c>
      <c r="B5" s="3" t="s">
        <v>44</v>
      </c>
      <c r="C5" s="3" t="s">
        <v>9</v>
      </c>
      <c r="D5" s="4">
        <v>45694</v>
      </c>
      <c r="E5" s="4">
        <v>45695</v>
      </c>
      <c r="F5" s="3">
        <v>2</v>
      </c>
      <c r="G5" s="3" t="s">
        <v>10</v>
      </c>
    </row>
    <row r="6" spans="1:7" x14ac:dyDescent="0.3">
      <c r="A6" s="3" t="s">
        <v>223</v>
      </c>
      <c r="B6" s="3" t="s">
        <v>44</v>
      </c>
      <c r="C6" s="3" t="s">
        <v>9</v>
      </c>
      <c r="D6" s="4">
        <v>45181</v>
      </c>
      <c r="E6" s="4">
        <v>45185</v>
      </c>
      <c r="F6" s="3">
        <v>5</v>
      </c>
      <c r="G6" s="3" t="s">
        <v>10</v>
      </c>
    </row>
    <row r="7" spans="1:7" x14ac:dyDescent="0.3">
      <c r="A7" s="3" t="s">
        <v>224</v>
      </c>
      <c r="B7" s="3" t="s">
        <v>44</v>
      </c>
      <c r="C7" s="3" t="s">
        <v>20</v>
      </c>
      <c r="D7" s="4">
        <v>45758</v>
      </c>
      <c r="E7" s="4">
        <v>45762</v>
      </c>
      <c r="F7" s="3">
        <v>5</v>
      </c>
      <c r="G7" s="3" t="s">
        <v>10</v>
      </c>
    </row>
    <row r="8" spans="1:7" x14ac:dyDescent="0.3">
      <c r="A8" s="3" t="s">
        <v>225</v>
      </c>
      <c r="B8" s="3" t="s">
        <v>49</v>
      </c>
      <c r="C8" s="3" t="s">
        <v>20</v>
      </c>
      <c r="D8" s="4">
        <v>45727</v>
      </c>
      <c r="E8" s="4">
        <v>45728</v>
      </c>
      <c r="F8" s="3">
        <v>2</v>
      </c>
      <c r="G8" s="3" t="s">
        <v>10</v>
      </c>
    </row>
    <row r="9" spans="1:7" x14ac:dyDescent="0.3">
      <c r="A9" s="3" t="s">
        <v>226</v>
      </c>
      <c r="B9" s="3" t="s">
        <v>49</v>
      </c>
      <c r="C9" s="3" t="s">
        <v>24</v>
      </c>
      <c r="D9" s="4">
        <v>45675</v>
      </c>
      <c r="E9" s="4">
        <v>45676</v>
      </c>
      <c r="F9" s="3">
        <v>2</v>
      </c>
      <c r="G9" s="3" t="s">
        <v>10</v>
      </c>
    </row>
    <row r="10" spans="1:7" x14ac:dyDescent="0.3">
      <c r="A10" s="3" t="s">
        <v>227</v>
      </c>
      <c r="B10" s="3" t="s">
        <v>54</v>
      </c>
      <c r="C10" s="3" t="s">
        <v>20</v>
      </c>
      <c r="D10" s="4">
        <v>44862</v>
      </c>
      <c r="E10" s="4">
        <v>44864</v>
      </c>
      <c r="F10" s="3">
        <v>3</v>
      </c>
      <c r="G10" s="3" t="s">
        <v>10</v>
      </c>
    </row>
    <row r="11" spans="1:7" x14ac:dyDescent="0.3">
      <c r="A11" s="3" t="s">
        <v>228</v>
      </c>
      <c r="B11" s="3" t="s">
        <v>54</v>
      </c>
      <c r="C11" s="3" t="s">
        <v>15</v>
      </c>
      <c r="D11" s="4">
        <v>44418</v>
      </c>
      <c r="E11" s="4">
        <v>44419</v>
      </c>
      <c r="F11" s="3">
        <v>2</v>
      </c>
      <c r="G11" s="3" t="s">
        <v>10</v>
      </c>
    </row>
    <row r="12" spans="1:7" x14ac:dyDescent="0.3">
      <c r="A12" s="3" t="s">
        <v>229</v>
      </c>
      <c r="B12" s="3" t="s">
        <v>54</v>
      </c>
      <c r="C12" s="3" t="s">
        <v>20</v>
      </c>
      <c r="D12" s="4">
        <v>44713</v>
      </c>
      <c r="E12" s="4">
        <v>44713</v>
      </c>
      <c r="F12" s="3">
        <v>1</v>
      </c>
      <c r="G12" s="3" t="s">
        <v>10</v>
      </c>
    </row>
    <row r="13" spans="1:7" x14ac:dyDescent="0.3">
      <c r="A13" s="3" t="s">
        <v>230</v>
      </c>
      <c r="B13" s="3" t="s">
        <v>59</v>
      </c>
      <c r="C13" s="3" t="s">
        <v>20</v>
      </c>
      <c r="D13" s="4">
        <v>45616</v>
      </c>
      <c r="E13" s="4">
        <v>45616</v>
      </c>
      <c r="F13" s="3">
        <v>1</v>
      </c>
      <c r="G13" s="3" t="s">
        <v>16</v>
      </c>
    </row>
    <row r="14" spans="1:7" x14ac:dyDescent="0.3">
      <c r="A14" s="3" t="s">
        <v>231</v>
      </c>
      <c r="B14" s="3" t="s">
        <v>59</v>
      </c>
      <c r="C14" s="3" t="s">
        <v>15</v>
      </c>
      <c r="D14" s="4">
        <v>45093</v>
      </c>
      <c r="E14" s="4">
        <v>45093</v>
      </c>
      <c r="F14" s="3">
        <v>1</v>
      </c>
      <c r="G14" s="3" t="s">
        <v>10</v>
      </c>
    </row>
    <row r="15" spans="1:7" x14ac:dyDescent="0.3">
      <c r="A15" s="3" t="s">
        <v>232</v>
      </c>
      <c r="B15" s="3" t="s">
        <v>59</v>
      </c>
      <c r="C15" s="3" t="s">
        <v>20</v>
      </c>
      <c r="D15" s="4">
        <v>45540</v>
      </c>
      <c r="E15" s="4">
        <v>45541</v>
      </c>
      <c r="F15" s="3">
        <v>2</v>
      </c>
      <c r="G15" s="3" t="s">
        <v>16</v>
      </c>
    </row>
    <row r="16" spans="1:7" x14ac:dyDescent="0.3">
      <c r="A16" s="3" t="s">
        <v>233</v>
      </c>
      <c r="B16" s="3" t="s">
        <v>59</v>
      </c>
      <c r="C16" s="3" t="s">
        <v>9</v>
      </c>
      <c r="D16" s="4">
        <v>44439</v>
      </c>
      <c r="E16" s="4">
        <v>44441</v>
      </c>
      <c r="F16" s="3">
        <v>3</v>
      </c>
      <c r="G16" s="3" t="s">
        <v>10</v>
      </c>
    </row>
    <row r="17" spans="1:7" x14ac:dyDescent="0.3">
      <c r="A17" s="3" t="s">
        <v>234</v>
      </c>
      <c r="B17" s="3" t="s">
        <v>64</v>
      </c>
      <c r="C17" s="3" t="s">
        <v>24</v>
      </c>
      <c r="D17" s="4">
        <v>45154</v>
      </c>
      <c r="E17" s="4">
        <v>45158</v>
      </c>
      <c r="F17" s="3">
        <v>5</v>
      </c>
      <c r="G17" s="3" t="s">
        <v>10</v>
      </c>
    </row>
    <row r="18" spans="1:7" x14ac:dyDescent="0.3">
      <c r="A18" s="3" t="s">
        <v>235</v>
      </c>
      <c r="B18" s="3" t="s">
        <v>64</v>
      </c>
      <c r="C18" s="3" t="s">
        <v>9</v>
      </c>
      <c r="D18" s="4">
        <v>45691</v>
      </c>
      <c r="E18" s="4">
        <v>45692</v>
      </c>
      <c r="F18" s="3">
        <v>2</v>
      </c>
      <c r="G18" s="3" t="s">
        <v>10</v>
      </c>
    </row>
    <row r="19" spans="1:7" x14ac:dyDescent="0.3">
      <c r="A19" s="3" t="s">
        <v>236</v>
      </c>
      <c r="B19" s="3" t="s">
        <v>64</v>
      </c>
      <c r="C19" s="3" t="s">
        <v>9</v>
      </c>
      <c r="D19" s="4">
        <v>45412</v>
      </c>
      <c r="E19" s="4">
        <v>45416</v>
      </c>
      <c r="F19" s="3">
        <v>5</v>
      </c>
      <c r="G19" s="3" t="s">
        <v>16</v>
      </c>
    </row>
    <row r="20" spans="1:7" x14ac:dyDescent="0.3">
      <c r="A20" s="3" t="s">
        <v>237</v>
      </c>
      <c r="B20" s="3" t="s">
        <v>69</v>
      </c>
      <c r="C20" s="3" t="s">
        <v>15</v>
      </c>
      <c r="D20" s="4">
        <v>44243</v>
      </c>
      <c r="E20" s="4">
        <v>44247</v>
      </c>
      <c r="F20" s="3">
        <v>5</v>
      </c>
      <c r="G20" s="3" t="s">
        <v>10</v>
      </c>
    </row>
    <row r="21" spans="1:7" x14ac:dyDescent="0.3">
      <c r="A21" s="3" t="s">
        <v>238</v>
      </c>
      <c r="B21" s="3" t="s">
        <v>74</v>
      </c>
      <c r="C21" s="3" t="s">
        <v>15</v>
      </c>
      <c r="D21" s="4">
        <v>45203</v>
      </c>
      <c r="E21" s="4">
        <v>45207</v>
      </c>
      <c r="F21" s="3">
        <v>5</v>
      </c>
      <c r="G21" s="3" t="s">
        <v>10</v>
      </c>
    </row>
    <row r="22" spans="1:7" x14ac:dyDescent="0.3">
      <c r="A22" s="3" t="s">
        <v>239</v>
      </c>
      <c r="B22" s="3" t="s">
        <v>74</v>
      </c>
      <c r="C22" s="3" t="s">
        <v>24</v>
      </c>
      <c r="D22" s="4">
        <v>45769</v>
      </c>
      <c r="E22" s="4">
        <v>45770</v>
      </c>
      <c r="F22" s="3">
        <v>2</v>
      </c>
      <c r="G22" s="3" t="s">
        <v>10</v>
      </c>
    </row>
    <row r="23" spans="1:7" x14ac:dyDescent="0.3">
      <c r="A23" s="3" t="s">
        <v>240</v>
      </c>
      <c r="B23" s="3" t="s">
        <v>74</v>
      </c>
      <c r="C23" s="3" t="s">
        <v>15</v>
      </c>
      <c r="D23" s="4">
        <v>45392</v>
      </c>
      <c r="E23" s="4">
        <v>45393</v>
      </c>
      <c r="F23" s="3">
        <v>2</v>
      </c>
      <c r="G23" s="3" t="s">
        <v>10</v>
      </c>
    </row>
    <row r="24" spans="1:7" x14ac:dyDescent="0.3">
      <c r="A24" s="3" t="s">
        <v>241</v>
      </c>
      <c r="B24" s="3" t="s">
        <v>74</v>
      </c>
      <c r="C24" s="3" t="s">
        <v>9</v>
      </c>
      <c r="D24" s="4">
        <v>45801</v>
      </c>
      <c r="E24" s="4">
        <v>45805</v>
      </c>
      <c r="F24" s="3">
        <v>5</v>
      </c>
      <c r="G24" s="3" t="s">
        <v>10</v>
      </c>
    </row>
    <row r="25" spans="1:7" x14ac:dyDescent="0.3">
      <c r="A25" s="3" t="s">
        <v>242</v>
      </c>
      <c r="B25" s="3" t="s">
        <v>79</v>
      </c>
      <c r="C25" s="3" t="s">
        <v>20</v>
      </c>
      <c r="D25" s="4">
        <v>45584</v>
      </c>
      <c r="E25" s="4">
        <v>45588</v>
      </c>
      <c r="F25" s="3">
        <v>5</v>
      </c>
      <c r="G25" s="3" t="s">
        <v>16</v>
      </c>
    </row>
    <row r="26" spans="1:7" x14ac:dyDescent="0.3">
      <c r="A26" s="3" t="s">
        <v>243</v>
      </c>
      <c r="B26" s="3" t="s">
        <v>83</v>
      </c>
      <c r="C26" s="3" t="s">
        <v>9</v>
      </c>
      <c r="D26" s="4">
        <v>45554</v>
      </c>
      <c r="E26" s="4">
        <v>45555</v>
      </c>
      <c r="F26" s="3">
        <v>2</v>
      </c>
      <c r="G26" s="3" t="s">
        <v>10</v>
      </c>
    </row>
    <row r="27" spans="1:7" x14ac:dyDescent="0.3">
      <c r="A27" s="3" t="s">
        <v>244</v>
      </c>
      <c r="B27" s="3" t="s">
        <v>83</v>
      </c>
      <c r="C27" s="3" t="s">
        <v>24</v>
      </c>
      <c r="D27" s="4">
        <v>45473</v>
      </c>
      <c r="E27" s="4">
        <v>45473</v>
      </c>
      <c r="F27" s="3">
        <v>1</v>
      </c>
      <c r="G27" s="3" t="s">
        <v>21</v>
      </c>
    </row>
    <row r="28" spans="1:7" x14ac:dyDescent="0.3">
      <c r="A28" s="3" t="s">
        <v>245</v>
      </c>
      <c r="B28" s="3" t="s">
        <v>83</v>
      </c>
      <c r="C28" s="3" t="s">
        <v>15</v>
      </c>
      <c r="D28" s="4">
        <v>45612</v>
      </c>
      <c r="E28" s="4">
        <v>45612</v>
      </c>
      <c r="F28" s="3">
        <v>1</v>
      </c>
      <c r="G28" s="3" t="s">
        <v>21</v>
      </c>
    </row>
    <row r="29" spans="1:7" x14ac:dyDescent="0.3">
      <c r="A29" s="3" t="s">
        <v>246</v>
      </c>
      <c r="B29" s="3" t="s">
        <v>83</v>
      </c>
      <c r="C29" s="3" t="s">
        <v>15</v>
      </c>
      <c r="D29" s="4">
        <v>45847</v>
      </c>
      <c r="E29" s="4">
        <v>45851</v>
      </c>
      <c r="F29" s="3">
        <v>5</v>
      </c>
      <c r="G29" s="3" t="s">
        <v>10</v>
      </c>
    </row>
    <row r="30" spans="1:7" x14ac:dyDescent="0.3">
      <c r="A30" s="3" t="s">
        <v>247</v>
      </c>
      <c r="B30" s="3" t="s">
        <v>87</v>
      </c>
      <c r="C30" s="3" t="s">
        <v>20</v>
      </c>
      <c r="D30" s="4">
        <v>45759</v>
      </c>
      <c r="E30" s="4">
        <v>45761</v>
      </c>
      <c r="F30" s="3">
        <v>3</v>
      </c>
      <c r="G30" s="3" t="s">
        <v>10</v>
      </c>
    </row>
    <row r="31" spans="1:7" x14ac:dyDescent="0.3">
      <c r="A31" s="3" t="s">
        <v>248</v>
      </c>
      <c r="B31" s="3" t="s">
        <v>87</v>
      </c>
      <c r="C31" s="3" t="s">
        <v>20</v>
      </c>
      <c r="D31" s="4">
        <v>45384</v>
      </c>
      <c r="E31" s="4">
        <v>45385</v>
      </c>
      <c r="F31" s="3">
        <v>2</v>
      </c>
      <c r="G31" s="3" t="s">
        <v>10</v>
      </c>
    </row>
    <row r="32" spans="1:7" x14ac:dyDescent="0.3">
      <c r="A32" s="3" t="s">
        <v>249</v>
      </c>
      <c r="B32" s="3" t="s">
        <v>87</v>
      </c>
      <c r="C32" s="3" t="s">
        <v>15</v>
      </c>
      <c r="D32" s="4">
        <v>45634</v>
      </c>
      <c r="E32" s="4">
        <v>45638</v>
      </c>
      <c r="F32" s="3">
        <v>5</v>
      </c>
      <c r="G32" s="3" t="s">
        <v>16</v>
      </c>
    </row>
    <row r="33" spans="1:7" x14ac:dyDescent="0.3">
      <c r="A33" s="3" t="s">
        <v>250</v>
      </c>
      <c r="B33" s="3" t="s">
        <v>87</v>
      </c>
      <c r="C33" s="3" t="s">
        <v>24</v>
      </c>
      <c r="D33" s="4">
        <v>45507</v>
      </c>
      <c r="E33" s="4">
        <v>45507</v>
      </c>
      <c r="F33" s="3">
        <v>1</v>
      </c>
      <c r="G33" s="3" t="s">
        <v>10</v>
      </c>
    </row>
    <row r="34" spans="1:7" x14ac:dyDescent="0.3">
      <c r="A34" s="3" t="s">
        <v>251</v>
      </c>
      <c r="B34" s="3" t="s">
        <v>91</v>
      </c>
      <c r="C34" s="3" t="s">
        <v>20</v>
      </c>
      <c r="D34" s="4">
        <v>45850</v>
      </c>
      <c r="E34" s="4">
        <v>45850</v>
      </c>
      <c r="F34" s="3">
        <v>1</v>
      </c>
      <c r="G34" s="3" t="s">
        <v>10</v>
      </c>
    </row>
    <row r="35" spans="1:7" x14ac:dyDescent="0.3">
      <c r="A35" s="3" t="s">
        <v>252</v>
      </c>
      <c r="B35" s="3" t="s">
        <v>91</v>
      </c>
      <c r="C35" s="3" t="s">
        <v>15</v>
      </c>
      <c r="D35" s="4">
        <v>44588</v>
      </c>
      <c r="E35" s="4">
        <v>44589</v>
      </c>
      <c r="F35" s="3">
        <v>2</v>
      </c>
      <c r="G35" s="3" t="s">
        <v>10</v>
      </c>
    </row>
    <row r="36" spans="1:7" x14ac:dyDescent="0.3">
      <c r="A36" s="3" t="s">
        <v>253</v>
      </c>
      <c r="B36" s="3" t="s">
        <v>91</v>
      </c>
      <c r="C36" s="3" t="s">
        <v>24</v>
      </c>
      <c r="D36" s="4">
        <v>45439</v>
      </c>
      <c r="E36" s="4">
        <v>45443</v>
      </c>
      <c r="F36" s="3">
        <v>5</v>
      </c>
      <c r="G36" s="3" t="s">
        <v>10</v>
      </c>
    </row>
    <row r="37" spans="1:7" x14ac:dyDescent="0.3">
      <c r="A37" s="3" t="s">
        <v>254</v>
      </c>
      <c r="B37" s="3" t="s">
        <v>91</v>
      </c>
      <c r="C37" s="3" t="s">
        <v>15</v>
      </c>
      <c r="D37" s="4">
        <v>44669</v>
      </c>
      <c r="E37" s="4">
        <v>44670</v>
      </c>
      <c r="F37" s="3">
        <v>2</v>
      </c>
      <c r="G37" s="3" t="s">
        <v>16</v>
      </c>
    </row>
    <row r="38" spans="1:7" x14ac:dyDescent="0.3">
      <c r="A38" s="3" t="s">
        <v>255</v>
      </c>
      <c r="B38" s="3" t="s">
        <v>95</v>
      </c>
      <c r="C38" s="3" t="s">
        <v>24</v>
      </c>
      <c r="D38" s="4">
        <v>44632</v>
      </c>
      <c r="E38" s="4">
        <v>44633</v>
      </c>
      <c r="F38" s="3">
        <v>2</v>
      </c>
      <c r="G38" s="3" t="s">
        <v>16</v>
      </c>
    </row>
    <row r="39" spans="1:7" x14ac:dyDescent="0.3">
      <c r="A39" s="3" t="s">
        <v>256</v>
      </c>
      <c r="B39" s="3" t="s">
        <v>95</v>
      </c>
      <c r="C39" s="3" t="s">
        <v>20</v>
      </c>
      <c r="D39" s="4">
        <v>45271</v>
      </c>
      <c r="E39" s="4">
        <v>45272</v>
      </c>
      <c r="F39" s="3">
        <v>2</v>
      </c>
      <c r="G39" s="3" t="s">
        <v>10</v>
      </c>
    </row>
    <row r="40" spans="1:7" x14ac:dyDescent="0.3">
      <c r="A40" s="3" t="s">
        <v>257</v>
      </c>
      <c r="B40" s="3" t="s">
        <v>95</v>
      </c>
      <c r="C40" s="3" t="s">
        <v>24</v>
      </c>
      <c r="D40" s="4">
        <v>45859</v>
      </c>
      <c r="E40" s="4">
        <v>45859</v>
      </c>
      <c r="F40" s="3">
        <v>1</v>
      </c>
      <c r="G40" s="3" t="s">
        <v>16</v>
      </c>
    </row>
    <row r="41" spans="1:7" x14ac:dyDescent="0.3">
      <c r="A41" s="3" t="s">
        <v>258</v>
      </c>
      <c r="B41" s="3" t="s">
        <v>95</v>
      </c>
      <c r="C41" s="3" t="s">
        <v>15</v>
      </c>
      <c r="D41" s="4">
        <v>45097</v>
      </c>
      <c r="E41" s="4">
        <v>45097</v>
      </c>
      <c r="F41" s="3">
        <v>1</v>
      </c>
      <c r="G41" s="3" t="s">
        <v>21</v>
      </c>
    </row>
    <row r="42" spans="1:7" x14ac:dyDescent="0.3">
      <c r="A42" s="3" t="s">
        <v>259</v>
      </c>
      <c r="B42" s="3" t="s">
        <v>99</v>
      </c>
      <c r="C42" s="3" t="s">
        <v>20</v>
      </c>
      <c r="D42" s="4">
        <v>45591</v>
      </c>
      <c r="E42" s="4">
        <v>45593</v>
      </c>
      <c r="F42" s="3">
        <v>3</v>
      </c>
      <c r="G42" s="3" t="s">
        <v>16</v>
      </c>
    </row>
    <row r="43" spans="1:7" x14ac:dyDescent="0.3">
      <c r="A43" s="3" t="s">
        <v>260</v>
      </c>
      <c r="B43" s="3" t="s">
        <v>99</v>
      </c>
      <c r="C43" s="3" t="s">
        <v>15</v>
      </c>
      <c r="D43" s="4">
        <v>45110</v>
      </c>
      <c r="E43" s="4">
        <v>45114</v>
      </c>
      <c r="F43" s="3">
        <v>5</v>
      </c>
      <c r="G43" s="3" t="s">
        <v>16</v>
      </c>
    </row>
    <row r="44" spans="1:7" x14ac:dyDescent="0.3">
      <c r="A44" s="3" t="s">
        <v>261</v>
      </c>
      <c r="B44" s="3" t="s">
        <v>99</v>
      </c>
      <c r="C44" s="3" t="s">
        <v>20</v>
      </c>
      <c r="D44" s="4">
        <v>45946</v>
      </c>
      <c r="E44" s="4">
        <v>45947</v>
      </c>
      <c r="F44" s="3">
        <v>2</v>
      </c>
      <c r="G44" s="3" t="s">
        <v>10</v>
      </c>
    </row>
    <row r="45" spans="1:7" x14ac:dyDescent="0.3">
      <c r="A45" s="3" t="s">
        <v>262</v>
      </c>
      <c r="B45" s="3" t="s">
        <v>99</v>
      </c>
      <c r="C45" s="3" t="s">
        <v>24</v>
      </c>
      <c r="D45" s="4">
        <v>45303</v>
      </c>
      <c r="E45" s="4">
        <v>45307</v>
      </c>
      <c r="F45" s="3">
        <v>5</v>
      </c>
      <c r="G45" s="3" t="s">
        <v>10</v>
      </c>
    </row>
    <row r="46" spans="1:7" x14ac:dyDescent="0.3">
      <c r="A46" s="3" t="s">
        <v>263</v>
      </c>
      <c r="B46" s="3" t="s">
        <v>103</v>
      </c>
      <c r="C46" s="3" t="s">
        <v>20</v>
      </c>
      <c r="D46" s="4">
        <v>44744</v>
      </c>
      <c r="E46" s="4">
        <v>44744</v>
      </c>
      <c r="F46" s="3">
        <v>1</v>
      </c>
      <c r="G46" s="3" t="s">
        <v>10</v>
      </c>
    </row>
    <row r="47" spans="1:7" x14ac:dyDescent="0.3">
      <c r="A47" s="3" t="s">
        <v>264</v>
      </c>
      <c r="B47" s="3" t="s">
        <v>103</v>
      </c>
      <c r="C47" s="3" t="s">
        <v>15</v>
      </c>
      <c r="D47" s="4">
        <v>45551</v>
      </c>
      <c r="E47" s="4">
        <v>45553</v>
      </c>
      <c r="F47" s="3">
        <v>3</v>
      </c>
      <c r="G47" s="3" t="s">
        <v>10</v>
      </c>
    </row>
    <row r="48" spans="1:7" x14ac:dyDescent="0.3">
      <c r="A48" s="3" t="s">
        <v>265</v>
      </c>
      <c r="B48" s="3" t="s">
        <v>107</v>
      </c>
      <c r="C48" s="3" t="s">
        <v>9</v>
      </c>
      <c r="D48" s="4">
        <v>45651</v>
      </c>
      <c r="E48" s="4">
        <v>45653</v>
      </c>
      <c r="F48" s="3">
        <v>3</v>
      </c>
      <c r="G48" s="3" t="s">
        <v>10</v>
      </c>
    </row>
    <row r="49" spans="1:7" x14ac:dyDescent="0.3">
      <c r="A49" s="3" t="s">
        <v>266</v>
      </c>
      <c r="B49" s="3" t="s">
        <v>107</v>
      </c>
      <c r="C49" s="3" t="s">
        <v>15</v>
      </c>
      <c r="D49" s="4">
        <v>44268</v>
      </c>
      <c r="E49" s="4">
        <v>44268</v>
      </c>
      <c r="F49" s="3">
        <v>1</v>
      </c>
      <c r="G49" s="3" t="s">
        <v>16</v>
      </c>
    </row>
    <row r="50" spans="1:7" x14ac:dyDescent="0.3">
      <c r="A50" s="3" t="s">
        <v>267</v>
      </c>
      <c r="B50" s="3" t="s">
        <v>107</v>
      </c>
      <c r="C50" s="3" t="s">
        <v>9</v>
      </c>
      <c r="D50" s="4">
        <v>44148</v>
      </c>
      <c r="E50" s="4">
        <v>44148</v>
      </c>
      <c r="F50" s="3">
        <v>1</v>
      </c>
      <c r="G50" s="3" t="s">
        <v>10</v>
      </c>
    </row>
    <row r="51" spans="1:7" x14ac:dyDescent="0.3">
      <c r="A51" s="3" t="s">
        <v>268</v>
      </c>
      <c r="B51" s="3" t="s">
        <v>111</v>
      </c>
      <c r="C51" s="3" t="s">
        <v>24</v>
      </c>
      <c r="D51" s="4">
        <v>45742</v>
      </c>
      <c r="E51" s="4">
        <v>45746</v>
      </c>
      <c r="F51" s="3">
        <v>5</v>
      </c>
      <c r="G51" s="3" t="s">
        <v>10</v>
      </c>
    </row>
    <row r="52" spans="1:7" x14ac:dyDescent="0.3">
      <c r="A52" s="3" t="s">
        <v>269</v>
      </c>
      <c r="B52" s="3" t="s">
        <v>115</v>
      </c>
      <c r="C52" s="3" t="s">
        <v>24</v>
      </c>
      <c r="D52" s="4">
        <v>43945</v>
      </c>
      <c r="E52" s="4">
        <v>43945</v>
      </c>
      <c r="F52" s="3">
        <v>1</v>
      </c>
      <c r="G52" s="3" t="s">
        <v>10</v>
      </c>
    </row>
    <row r="53" spans="1:7" x14ac:dyDescent="0.3">
      <c r="A53" s="3" t="s">
        <v>270</v>
      </c>
      <c r="B53" s="3" t="s">
        <v>115</v>
      </c>
      <c r="C53" s="3" t="s">
        <v>15</v>
      </c>
      <c r="D53" s="4">
        <v>44240</v>
      </c>
      <c r="E53" s="4">
        <v>44241</v>
      </c>
      <c r="F53" s="3">
        <v>2</v>
      </c>
      <c r="G53" s="3" t="s">
        <v>10</v>
      </c>
    </row>
    <row r="54" spans="1:7" x14ac:dyDescent="0.3">
      <c r="A54" s="3" t="s">
        <v>271</v>
      </c>
      <c r="B54" s="3" t="s">
        <v>115</v>
      </c>
      <c r="C54" s="3" t="s">
        <v>24</v>
      </c>
      <c r="D54" s="4">
        <v>45560</v>
      </c>
      <c r="E54" s="4">
        <v>45562</v>
      </c>
      <c r="F54" s="3">
        <v>3</v>
      </c>
      <c r="G54" s="3" t="s">
        <v>10</v>
      </c>
    </row>
    <row r="55" spans="1:7" x14ac:dyDescent="0.3">
      <c r="A55" s="3" t="s">
        <v>272</v>
      </c>
      <c r="B55" s="3" t="s">
        <v>119</v>
      </c>
      <c r="C55" s="3" t="s">
        <v>24</v>
      </c>
      <c r="D55" s="4">
        <v>45326</v>
      </c>
      <c r="E55" s="4">
        <v>45327</v>
      </c>
      <c r="F55" s="3">
        <v>2</v>
      </c>
      <c r="G55" s="3" t="s">
        <v>10</v>
      </c>
    </row>
    <row r="56" spans="1:7" x14ac:dyDescent="0.3">
      <c r="A56" s="3" t="s">
        <v>273</v>
      </c>
      <c r="B56" s="3" t="s">
        <v>119</v>
      </c>
      <c r="C56" s="3" t="s">
        <v>9</v>
      </c>
      <c r="D56" s="4">
        <v>45316</v>
      </c>
      <c r="E56" s="4">
        <v>45317</v>
      </c>
      <c r="F56" s="3">
        <v>2</v>
      </c>
      <c r="G56" s="3" t="s">
        <v>10</v>
      </c>
    </row>
    <row r="57" spans="1:7" x14ac:dyDescent="0.3">
      <c r="A57" s="3" t="s">
        <v>274</v>
      </c>
      <c r="B57" s="3" t="s">
        <v>119</v>
      </c>
      <c r="C57" s="3" t="s">
        <v>9</v>
      </c>
      <c r="D57" s="4">
        <v>45706</v>
      </c>
      <c r="E57" s="4">
        <v>45706</v>
      </c>
      <c r="F57" s="3">
        <v>1</v>
      </c>
      <c r="G57" s="3" t="s">
        <v>10</v>
      </c>
    </row>
    <row r="58" spans="1:7" x14ac:dyDescent="0.3">
      <c r="A58" s="3" t="s">
        <v>275</v>
      </c>
      <c r="B58" s="3" t="s">
        <v>123</v>
      </c>
      <c r="C58" s="3" t="s">
        <v>24</v>
      </c>
      <c r="D58" s="4">
        <v>45896</v>
      </c>
      <c r="E58" s="4">
        <v>45896</v>
      </c>
      <c r="F58" s="3">
        <v>1</v>
      </c>
      <c r="G58" s="3" t="s">
        <v>10</v>
      </c>
    </row>
    <row r="59" spans="1:7" x14ac:dyDescent="0.3">
      <c r="A59" s="3" t="s">
        <v>276</v>
      </c>
      <c r="B59" s="3" t="s">
        <v>123</v>
      </c>
      <c r="C59" s="3" t="s">
        <v>24</v>
      </c>
      <c r="D59" s="4">
        <v>45139</v>
      </c>
      <c r="E59" s="4">
        <v>45143</v>
      </c>
      <c r="F59" s="3">
        <v>5</v>
      </c>
      <c r="G59" s="3" t="s">
        <v>10</v>
      </c>
    </row>
    <row r="60" spans="1:7" x14ac:dyDescent="0.3">
      <c r="A60" s="3" t="s">
        <v>277</v>
      </c>
      <c r="B60" s="3" t="s">
        <v>123</v>
      </c>
      <c r="C60" s="3" t="s">
        <v>24</v>
      </c>
      <c r="D60" s="4">
        <v>45522</v>
      </c>
      <c r="E60" s="4">
        <v>45522</v>
      </c>
      <c r="F60" s="3">
        <v>1</v>
      </c>
      <c r="G60" s="3" t="s">
        <v>16</v>
      </c>
    </row>
    <row r="61" spans="1:7" x14ac:dyDescent="0.3">
      <c r="A61" s="3" t="s">
        <v>278</v>
      </c>
      <c r="B61" s="3" t="s">
        <v>123</v>
      </c>
      <c r="C61" s="3" t="s">
        <v>15</v>
      </c>
      <c r="D61" s="4">
        <v>46004</v>
      </c>
      <c r="E61" s="4">
        <v>46008</v>
      </c>
      <c r="F61" s="3">
        <v>5</v>
      </c>
      <c r="G61" s="3" t="s">
        <v>21</v>
      </c>
    </row>
    <row r="62" spans="1:7" x14ac:dyDescent="0.3">
      <c r="A62" s="3" t="s">
        <v>279</v>
      </c>
      <c r="B62" s="3" t="s">
        <v>127</v>
      </c>
      <c r="C62" s="3" t="s">
        <v>24</v>
      </c>
      <c r="D62" s="4">
        <v>44826</v>
      </c>
      <c r="E62" s="4">
        <v>44830</v>
      </c>
      <c r="F62" s="3">
        <v>5</v>
      </c>
      <c r="G62" s="3" t="s">
        <v>21</v>
      </c>
    </row>
    <row r="63" spans="1:7" x14ac:dyDescent="0.3">
      <c r="A63" s="3" t="s">
        <v>280</v>
      </c>
      <c r="B63" s="3" t="s">
        <v>127</v>
      </c>
      <c r="C63" s="3" t="s">
        <v>20</v>
      </c>
      <c r="D63" s="4">
        <v>45767</v>
      </c>
      <c r="E63" s="4">
        <v>45768</v>
      </c>
      <c r="F63" s="3">
        <v>2</v>
      </c>
      <c r="G63" s="3" t="s">
        <v>16</v>
      </c>
    </row>
    <row r="64" spans="1:7" x14ac:dyDescent="0.3">
      <c r="A64" s="3" t="s">
        <v>281</v>
      </c>
      <c r="B64" s="3" t="s">
        <v>131</v>
      </c>
      <c r="C64" s="3" t="s">
        <v>15</v>
      </c>
      <c r="D64" s="4">
        <v>44803</v>
      </c>
      <c r="E64" s="4">
        <v>44803</v>
      </c>
      <c r="F64" s="3">
        <v>1</v>
      </c>
      <c r="G64" s="3" t="s">
        <v>10</v>
      </c>
    </row>
    <row r="65" spans="1:7" x14ac:dyDescent="0.3">
      <c r="A65" s="3" t="s">
        <v>282</v>
      </c>
      <c r="B65" s="3" t="s">
        <v>135</v>
      </c>
      <c r="C65" s="3" t="s">
        <v>20</v>
      </c>
      <c r="D65" s="4">
        <v>45125</v>
      </c>
      <c r="E65" s="4">
        <v>45126</v>
      </c>
      <c r="F65" s="3">
        <v>2</v>
      </c>
      <c r="G65" s="3" t="s">
        <v>10</v>
      </c>
    </row>
    <row r="66" spans="1:7" x14ac:dyDescent="0.3">
      <c r="A66" s="3" t="s">
        <v>283</v>
      </c>
      <c r="B66" s="3" t="s">
        <v>139</v>
      </c>
      <c r="C66" s="3" t="s">
        <v>9</v>
      </c>
      <c r="D66" s="4">
        <v>45859</v>
      </c>
      <c r="E66" s="4">
        <v>45860</v>
      </c>
      <c r="F66" s="3">
        <v>2</v>
      </c>
      <c r="G66" s="3" t="s">
        <v>10</v>
      </c>
    </row>
    <row r="67" spans="1:7" x14ac:dyDescent="0.3">
      <c r="A67" s="3" t="s">
        <v>284</v>
      </c>
      <c r="B67" s="3" t="s">
        <v>139</v>
      </c>
      <c r="C67" s="3" t="s">
        <v>15</v>
      </c>
      <c r="D67" s="4">
        <v>45498</v>
      </c>
      <c r="E67" s="4">
        <v>45498</v>
      </c>
      <c r="F67" s="3">
        <v>1</v>
      </c>
      <c r="G67" s="3" t="s">
        <v>10</v>
      </c>
    </row>
    <row r="68" spans="1:7" x14ac:dyDescent="0.3">
      <c r="A68" s="3" t="s">
        <v>285</v>
      </c>
      <c r="B68" s="3" t="s">
        <v>139</v>
      </c>
      <c r="C68" s="3" t="s">
        <v>24</v>
      </c>
      <c r="D68" s="4">
        <v>45813</v>
      </c>
      <c r="E68" s="4">
        <v>45813</v>
      </c>
      <c r="F68" s="3">
        <v>1</v>
      </c>
      <c r="G68" s="3" t="s">
        <v>10</v>
      </c>
    </row>
    <row r="69" spans="1:7" x14ac:dyDescent="0.3">
      <c r="A69" s="3" t="s">
        <v>286</v>
      </c>
      <c r="B69" s="3" t="s">
        <v>143</v>
      </c>
      <c r="C69" s="3" t="s">
        <v>9</v>
      </c>
      <c r="D69" s="4">
        <v>45252</v>
      </c>
      <c r="E69" s="4">
        <v>45252</v>
      </c>
      <c r="F69" s="3">
        <v>1</v>
      </c>
      <c r="G69" s="3" t="s">
        <v>10</v>
      </c>
    </row>
    <row r="70" spans="1:7" x14ac:dyDescent="0.3">
      <c r="A70" s="3" t="s">
        <v>287</v>
      </c>
      <c r="B70" s="3" t="s">
        <v>147</v>
      </c>
      <c r="C70" s="3" t="s">
        <v>9</v>
      </c>
      <c r="D70" s="4">
        <v>45536</v>
      </c>
      <c r="E70" s="4">
        <v>45537</v>
      </c>
      <c r="F70" s="3">
        <v>2</v>
      </c>
      <c r="G70" s="3" t="s">
        <v>10</v>
      </c>
    </row>
    <row r="71" spans="1:7" x14ac:dyDescent="0.3">
      <c r="A71" s="3" t="s">
        <v>288</v>
      </c>
      <c r="B71" s="3" t="s">
        <v>151</v>
      </c>
      <c r="C71" s="3" t="s">
        <v>15</v>
      </c>
      <c r="D71" s="4">
        <v>45709</v>
      </c>
      <c r="E71" s="4">
        <v>45709</v>
      </c>
      <c r="F71" s="3">
        <v>1</v>
      </c>
      <c r="G71" s="3" t="s">
        <v>16</v>
      </c>
    </row>
    <row r="72" spans="1:7" x14ac:dyDescent="0.3">
      <c r="A72" s="3" t="s">
        <v>289</v>
      </c>
      <c r="B72" s="3" t="s">
        <v>151</v>
      </c>
      <c r="C72" s="3" t="s">
        <v>20</v>
      </c>
      <c r="D72" s="4">
        <v>45452</v>
      </c>
      <c r="E72" s="4">
        <v>45453</v>
      </c>
      <c r="F72" s="3">
        <v>2</v>
      </c>
      <c r="G72" s="3" t="s">
        <v>21</v>
      </c>
    </row>
    <row r="73" spans="1:7" x14ac:dyDescent="0.3">
      <c r="A73" s="3" t="s">
        <v>290</v>
      </c>
      <c r="B73" s="3" t="s">
        <v>151</v>
      </c>
      <c r="C73" s="3" t="s">
        <v>24</v>
      </c>
      <c r="D73" s="4">
        <v>45937</v>
      </c>
      <c r="E73" s="4">
        <v>45937</v>
      </c>
      <c r="F73" s="3">
        <v>1</v>
      </c>
      <c r="G73" s="3" t="s">
        <v>10</v>
      </c>
    </row>
    <row r="74" spans="1:7" x14ac:dyDescent="0.3">
      <c r="A74" s="3" t="s">
        <v>291</v>
      </c>
      <c r="B74" s="3" t="s">
        <v>151</v>
      </c>
      <c r="C74" s="3" t="s">
        <v>9</v>
      </c>
      <c r="D74" s="4">
        <v>45312</v>
      </c>
      <c r="E74" s="4">
        <v>45312</v>
      </c>
      <c r="F74" s="3">
        <v>1</v>
      </c>
      <c r="G74" s="3" t="s">
        <v>10</v>
      </c>
    </row>
    <row r="75" spans="1:7" x14ac:dyDescent="0.3">
      <c r="A75" s="3" t="s">
        <v>292</v>
      </c>
      <c r="B75" s="3" t="s">
        <v>155</v>
      </c>
      <c r="C75" s="3" t="s">
        <v>24</v>
      </c>
      <c r="D75" s="4">
        <v>45699</v>
      </c>
      <c r="E75" s="4">
        <v>45700</v>
      </c>
      <c r="F75" s="3">
        <v>2</v>
      </c>
      <c r="G75" s="3" t="s">
        <v>10</v>
      </c>
    </row>
    <row r="76" spans="1:7" x14ac:dyDescent="0.3">
      <c r="A76" s="3" t="s">
        <v>293</v>
      </c>
      <c r="B76" s="3" t="s">
        <v>155</v>
      </c>
      <c r="C76" s="3" t="s">
        <v>20</v>
      </c>
      <c r="D76" s="4">
        <v>45735</v>
      </c>
      <c r="E76" s="4">
        <v>45735</v>
      </c>
      <c r="F76" s="3">
        <v>1</v>
      </c>
      <c r="G76" s="3" t="s">
        <v>16</v>
      </c>
    </row>
    <row r="77" spans="1:7" x14ac:dyDescent="0.3">
      <c r="A77" s="3" t="s">
        <v>294</v>
      </c>
      <c r="B77" s="3" t="s">
        <v>159</v>
      </c>
      <c r="C77" s="3" t="s">
        <v>20</v>
      </c>
      <c r="D77" s="4">
        <v>45608</v>
      </c>
      <c r="E77" s="4">
        <v>45609</v>
      </c>
      <c r="F77" s="3">
        <v>2</v>
      </c>
      <c r="G77" s="3" t="s">
        <v>10</v>
      </c>
    </row>
    <row r="78" spans="1:7" x14ac:dyDescent="0.3">
      <c r="A78" s="3" t="s">
        <v>295</v>
      </c>
      <c r="B78" s="3" t="s">
        <v>163</v>
      </c>
      <c r="C78" s="3" t="s">
        <v>15</v>
      </c>
      <c r="D78" s="4">
        <v>45944</v>
      </c>
      <c r="E78" s="4">
        <v>45946</v>
      </c>
      <c r="F78" s="3">
        <v>3</v>
      </c>
      <c r="G78" s="3" t="s">
        <v>10</v>
      </c>
    </row>
    <row r="79" spans="1:7" x14ac:dyDescent="0.3">
      <c r="A79" s="3" t="s">
        <v>296</v>
      </c>
      <c r="B79" s="3" t="s">
        <v>163</v>
      </c>
      <c r="C79" s="3" t="s">
        <v>15</v>
      </c>
      <c r="D79" s="4">
        <v>44706</v>
      </c>
      <c r="E79" s="4">
        <v>44708</v>
      </c>
      <c r="F79" s="3">
        <v>3</v>
      </c>
      <c r="G79" s="3" t="s">
        <v>10</v>
      </c>
    </row>
    <row r="80" spans="1:7" x14ac:dyDescent="0.3">
      <c r="A80" s="3" t="s">
        <v>297</v>
      </c>
      <c r="B80" s="3" t="s">
        <v>163</v>
      </c>
      <c r="C80" s="3" t="s">
        <v>15</v>
      </c>
      <c r="D80" s="4">
        <v>44004</v>
      </c>
      <c r="E80" s="4">
        <v>44008</v>
      </c>
      <c r="F80" s="3">
        <v>5</v>
      </c>
      <c r="G80" s="3" t="s">
        <v>16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Lists!$D$2:$D$5</xm:f>
          </x14:formula1>
          <x14:formula2>
            <xm:f>0</xm:f>
          </x14:formula2>
          <xm:sqref>C2:C80</xm:sqref>
        </x14:dataValidation>
        <x14:dataValidation type="list" allowBlank="1" xr:uid="{00000000-0002-0000-0400-000001000000}">
          <x14:formula1>
            <xm:f>Lists!$E$2:$E$4</xm:f>
          </x14:formula1>
          <x14:formula2>
            <xm:f>0</xm:f>
          </x14:formula2>
          <xm:sqref>G2:G80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5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0" customWidth="1"/>
    <col min="3" max="3" width="15" customWidth="1"/>
    <col min="4" max="4" width="12" customWidth="1"/>
    <col min="5" max="5" width="14" customWidth="1"/>
    <col min="6" max="6" width="13" customWidth="1"/>
  </cols>
  <sheetData>
    <row r="1" spans="1:6" ht="27.6" x14ac:dyDescent="0.3">
      <c r="A1" s="2" t="s">
        <v>28</v>
      </c>
      <c r="B1" s="2" t="s">
        <v>188</v>
      </c>
      <c r="C1" s="2" t="s">
        <v>298</v>
      </c>
      <c r="D1" s="2" t="s">
        <v>299</v>
      </c>
      <c r="E1" s="2" t="s">
        <v>300</v>
      </c>
      <c r="F1" s="2" t="s">
        <v>301</v>
      </c>
    </row>
    <row r="2" spans="1:6" x14ac:dyDescent="0.3">
      <c r="A2" s="3" t="s">
        <v>39</v>
      </c>
      <c r="B2" s="3" t="s">
        <v>191</v>
      </c>
      <c r="C2" s="5">
        <v>48000</v>
      </c>
      <c r="D2" s="5">
        <v>0</v>
      </c>
      <c r="E2" s="5">
        <v>0</v>
      </c>
      <c r="F2" s="12">
        <f t="shared" ref="F2:F65" si="0">C2+D2-E2</f>
        <v>48000</v>
      </c>
    </row>
    <row r="3" spans="1:6" x14ac:dyDescent="0.3">
      <c r="A3" s="3" t="s">
        <v>44</v>
      </c>
      <c r="B3" s="3" t="s">
        <v>191</v>
      </c>
      <c r="C3" s="5">
        <v>60000</v>
      </c>
      <c r="D3" s="5">
        <v>1000</v>
      </c>
      <c r="E3" s="5">
        <v>500</v>
      </c>
      <c r="F3" s="12">
        <f t="shared" si="0"/>
        <v>60500</v>
      </c>
    </row>
    <row r="4" spans="1:6" x14ac:dyDescent="0.3">
      <c r="A4" s="3" t="s">
        <v>54</v>
      </c>
      <c r="B4" s="3" t="s">
        <v>191</v>
      </c>
      <c r="C4" s="5">
        <v>60000</v>
      </c>
      <c r="D4" s="5">
        <v>1000</v>
      </c>
      <c r="E4" s="5">
        <v>200</v>
      </c>
      <c r="F4" s="12">
        <f t="shared" si="0"/>
        <v>60800</v>
      </c>
    </row>
    <row r="5" spans="1:6" x14ac:dyDescent="0.3">
      <c r="A5" s="3" t="s">
        <v>59</v>
      </c>
      <c r="B5" s="3" t="s">
        <v>191</v>
      </c>
      <c r="C5" s="5">
        <v>35000</v>
      </c>
      <c r="D5" s="5">
        <v>500</v>
      </c>
      <c r="E5" s="5">
        <v>0</v>
      </c>
      <c r="F5" s="12">
        <f t="shared" si="0"/>
        <v>35500</v>
      </c>
    </row>
    <row r="6" spans="1:6" x14ac:dyDescent="0.3">
      <c r="A6" s="3" t="s">
        <v>64</v>
      </c>
      <c r="B6" s="3" t="s">
        <v>191</v>
      </c>
      <c r="C6" s="5">
        <v>65000</v>
      </c>
      <c r="D6" s="5">
        <v>500</v>
      </c>
      <c r="E6" s="5">
        <v>200</v>
      </c>
      <c r="F6" s="12">
        <f t="shared" si="0"/>
        <v>65300</v>
      </c>
    </row>
    <row r="7" spans="1:6" x14ac:dyDescent="0.3">
      <c r="A7" s="3" t="s">
        <v>69</v>
      </c>
      <c r="B7" s="3" t="s">
        <v>191</v>
      </c>
      <c r="C7" s="5">
        <v>65000</v>
      </c>
      <c r="D7" s="5">
        <v>1000</v>
      </c>
      <c r="E7" s="5">
        <v>0</v>
      </c>
      <c r="F7" s="12">
        <f t="shared" si="0"/>
        <v>66000</v>
      </c>
    </row>
    <row r="8" spans="1:6" x14ac:dyDescent="0.3">
      <c r="A8" s="3" t="s">
        <v>74</v>
      </c>
      <c r="B8" s="3" t="s">
        <v>191</v>
      </c>
      <c r="C8" s="5">
        <v>35000</v>
      </c>
      <c r="D8" s="5">
        <v>1000</v>
      </c>
      <c r="E8" s="5">
        <v>0</v>
      </c>
      <c r="F8" s="12">
        <f t="shared" si="0"/>
        <v>36000</v>
      </c>
    </row>
    <row r="9" spans="1:6" x14ac:dyDescent="0.3">
      <c r="A9" s="3" t="s">
        <v>79</v>
      </c>
      <c r="B9" s="3" t="s">
        <v>191</v>
      </c>
      <c r="C9" s="5">
        <v>35000</v>
      </c>
      <c r="D9" s="5">
        <v>0</v>
      </c>
      <c r="E9" s="5">
        <v>500</v>
      </c>
      <c r="F9" s="12">
        <f t="shared" si="0"/>
        <v>34500</v>
      </c>
    </row>
    <row r="10" spans="1:6" x14ac:dyDescent="0.3">
      <c r="A10" s="3" t="s">
        <v>91</v>
      </c>
      <c r="B10" s="3" t="s">
        <v>191</v>
      </c>
      <c r="C10" s="5">
        <v>65000</v>
      </c>
      <c r="D10" s="5">
        <v>1500</v>
      </c>
      <c r="E10" s="5">
        <v>500</v>
      </c>
      <c r="F10" s="12">
        <f t="shared" si="0"/>
        <v>66000</v>
      </c>
    </row>
    <row r="11" spans="1:6" x14ac:dyDescent="0.3">
      <c r="A11" s="3" t="s">
        <v>95</v>
      </c>
      <c r="B11" s="3" t="s">
        <v>191</v>
      </c>
      <c r="C11" s="5">
        <v>52000</v>
      </c>
      <c r="D11" s="5">
        <v>1500</v>
      </c>
      <c r="E11" s="5">
        <v>0</v>
      </c>
      <c r="F11" s="12">
        <f t="shared" si="0"/>
        <v>53500</v>
      </c>
    </row>
    <row r="12" spans="1:6" x14ac:dyDescent="0.3">
      <c r="A12" s="3" t="s">
        <v>99</v>
      </c>
      <c r="B12" s="3" t="s">
        <v>191</v>
      </c>
      <c r="C12" s="5">
        <v>60000</v>
      </c>
      <c r="D12" s="5">
        <v>1500</v>
      </c>
      <c r="E12" s="5">
        <v>200</v>
      </c>
      <c r="F12" s="12">
        <f t="shared" si="0"/>
        <v>61300</v>
      </c>
    </row>
    <row r="13" spans="1:6" x14ac:dyDescent="0.3">
      <c r="A13" s="3" t="s">
        <v>103</v>
      </c>
      <c r="B13" s="3" t="s">
        <v>191</v>
      </c>
      <c r="C13" s="5">
        <v>32000</v>
      </c>
      <c r="D13" s="5">
        <v>0</v>
      </c>
      <c r="E13" s="5">
        <v>200</v>
      </c>
      <c r="F13" s="12">
        <f t="shared" si="0"/>
        <v>31800</v>
      </c>
    </row>
    <row r="14" spans="1:6" x14ac:dyDescent="0.3">
      <c r="A14" s="3" t="s">
        <v>107</v>
      </c>
      <c r="B14" s="3" t="s">
        <v>191</v>
      </c>
      <c r="C14" s="5">
        <v>65000</v>
      </c>
      <c r="D14" s="5">
        <v>1500</v>
      </c>
      <c r="E14" s="5">
        <v>0</v>
      </c>
      <c r="F14" s="12">
        <f t="shared" si="0"/>
        <v>66500</v>
      </c>
    </row>
    <row r="15" spans="1:6" x14ac:dyDescent="0.3">
      <c r="A15" s="3" t="s">
        <v>115</v>
      </c>
      <c r="B15" s="3" t="s">
        <v>191</v>
      </c>
      <c r="C15" s="5">
        <v>35000</v>
      </c>
      <c r="D15" s="5">
        <v>0</v>
      </c>
      <c r="E15" s="5">
        <v>0</v>
      </c>
      <c r="F15" s="12">
        <f t="shared" si="0"/>
        <v>35000</v>
      </c>
    </row>
    <row r="16" spans="1:6" x14ac:dyDescent="0.3">
      <c r="A16" s="3" t="s">
        <v>119</v>
      </c>
      <c r="B16" s="3" t="s">
        <v>191</v>
      </c>
      <c r="C16" s="5">
        <v>35000</v>
      </c>
      <c r="D16" s="5">
        <v>500</v>
      </c>
      <c r="E16" s="5">
        <v>200</v>
      </c>
      <c r="F16" s="12">
        <f t="shared" si="0"/>
        <v>35300</v>
      </c>
    </row>
    <row r="17" spans="1:6" x14ac:dyDescent="0.3">
      <c r="A17" s="3" t="s">
        <v>123</v>
      </c>
      <c r="B17" s="3" t="s">
        <v>191</v>
      </c>
      <c r="C17" s="5">
        <v>35000</v>
      </c>
      <c r="D17" s="5">
        <v>0</v>
      </c>
      <c r="E17" s="5">
        <v>500</v>
      </c>
      <c r="F17" s="12">
        <f t="shared" si="0"/>
        <v>34500</v>
      </c>
    </row>
    <row r="18" spans="1:6" x14ac:dyDescent="0.3">
      <c r="A18" s="3" t="s">
        <v>127</v>
      </c>
      <c r="B18" s="3" t="s">
        <v>191</v>
      </c>
      <c r="C18" s="5">
        <v>56000</v>
      </c>
      <c r="D18" s="5">
        <v>500</v>
      </c>
      <c r="E18" s="5">
        <v>0</v>
      </c>
      <c r="F18" s="12">
        <f t="shared" si="0"/>
        <v>56500</v>
      </c>
    </row>
    <row r="19" spans="1:6" x14ac:dyDescent="0.3">
      <c r="A19" s="3" t="s">
        <v>131</v>
      </c>
      <c r="B19" s="3" t="s">
        <v>191</v>
      </c>
      <c r="C19" s="5">
        <v>32000</v>
      </c>
      <c r="D19" s="5">
        <v>0</v>
      </c>
      <c r="E19" s="5">
        <v>500</v>
      </c>
      <c r="F19" s="12">
        <f t="shared" si="0"/>
        <v>31500</v>
      </c>
    </row>
    <row r="20" spans="1:6" x14ac:dyDescent="0.3">
      <c r="A20" s="3" t="s">
        <v>135</v>
      </c>
      <c r="B20" s="3" t="s">
        <v>191</v>
      </c>
      <c r="C20" s="5">
        <v>48000</v>
      </c>
      <c r="D20" s="5">
        <v>1500</v>
      </c>
      <c r="E20" s="5">
        <v>0</v>
      </c>
      <c r="F20" s="12">
        <f t="shared" si="0"/>
        <v>49500</v>
      </c>
    </row>
    <row r="21" spans="1:6" x14ac:dyDescent="0.3">
      <c r="A21" s="3" t="s">
        <v>143</v>
      </c>
      <c r="B21" s="3" t="s">
        <v>191</v>
      </c>
      <c r="C21" s="5">
        <v>32000</v>
      </c>
      <c r="D21" s="5">
        <v>1000</v>
      </c>
      <c r="E21" s="5">
        <v>0</v>
      </c>
      <c r="F21" s="12">
        <f t="shared" si="0"/>
        <v>33000</v>
      </c>
    </row>
    <row r="22" spans="1:6" x14ac:dyDescent="0.3">
      <c r="A22" s="3" t="s">
        <v>147</v>
      </c>
      <c r="B22" s="3" t="s">
        <v>191</v>
      </c>
      <c r="C22" s="5">
        <v>48000</v>
      </c>
      <c r="D22" s="5">
        <v>1000</v>
      </c>
      <c r="E22" s="5">
        <v>0</v>
      </c>
      <c r="F22" s="12">
        <f t="shared" si="0"/>
        <v>49000</v>
      </c>
    </row>
    <row r="23" spans="1:6" x14ac:dyDescent="0.3">
      <c r="A23" s="3" t="s">
        <v>151</v>
      </c>
      <c r="B23" s="3" t="s">
        <v>191</v>
      </c>
      <c r="C23" s="5">
        <v>65000</v>
      </c>
      <c r="D23" s="5">
        <v>2000</v>
      </c>
      <c r="E23" s="5">
        <v>0</v>
      </c>
      <c r="F23" s="12">
        <f t="shared" si="0"/>
        <v>67000</v>
      </c>
    </row>
    <row r="24" spans="1:6" x14ac:dyDescent="0.3">
      <c r="A24" s="3" t="s">
        <v>163</v>
      </c>
      <c r="B24" s="3" t="s">
        <v>191</v>
      </c>
      <c r="C24" s="5">
        <v>65000</v>
      </c>
      <c r="D24" s="5">
        <v>500</v>
      </c>
      <c r="E24" s="5">
        <v>300</v>
      </c>
      <c r="F24" s="12">
        <f t="shared" si="0"/>
        <v>65200</v>
      </c>
    </row>
    <row r="25" spans="1:6" x14ac:dyDescent="0.3">
      <c r="A25" s="3" t="s">
        <v>39</v>
      </c>
      <c r="B25" s="3" t="s">
        <v>192</v>
      </c>
      <c r="C25" s="5">
        <v>48000</v>
      </c>
      <c r="D25" s="5">
        <v>1500</v>
      </c>
      <c r="E25" s="5">
        <v>500</v>
      </c>
      <c r="F25" s="12">
        <f t="shared" si="0"/>
        <v>49000</v>
      </c>
    </row>
    <row r="26" spans="1:6" x14ac:dyDescent="0.3">
      <c r="A26" s="3" t="s">
        <v>44</v>
      </c>
      <c r="B26" s="3" t="s">
        <v>192</v>
      </c>
      <c r="C26" s="5">
        <v>60000</v>
      </c>
      <c r="D26" s="5">
        <v>2000</v>
      </c>
      <c r="E26" s="5">
        <v>0</v>
      </c>
      <c r="F26" s="12">
        <f t="shared" si="0"/>
        <v>62000</v>
      </c>
    </row>
    <row r="27" spans="1:6" x14ac:dyDescent="0.3">
      <c r="A27" s="3" t="s">
        <v>54</v>
      </c>
      <c r="B27" s="3" t="s">
        <v>192</v>
      </c>
      <c r="C27" s="5">
        <v>60000</v>
      </c>
      <c r="D27" s="5">
        <v>0</v>
      </c>
      <c r="E27" s="5">
        <v>0</v>
      </c>
      <c r="F27" s="12">
        <f t="shared" si="0"/>
        <v>60000</v>
      </c>
    </row>
    <row r="28" spans="1:6" x14ac:dyDescent="0.3">
      <c r="A28" s="3" t="s">
        <v>59</v>
      </c>
      <c r="B28" s="3" t="s">
        <v>192</v>
      </c>
      <c r="C28" s="5">
        <v>35000</v>
      </c>
      <c r="D28" s="5">
        <v>1000</v>
      </c>
      <c r="E28" s="5">
        <v>300</v>
      </c>
      <c r="F28" s="12">
        <f t="shared" si="0"/>
        <v>35700</v>
      </c>
    </row>
    <row r="29" spans="1:6" x14ac:dyDescent="0.3">
      <c r="A29" s="3" t="s">
        <v>64</v>
      </c>
      <c r="B29" s="3" t="s">
        <v>192</v>
      </c>
      <c r="C29" s="5">
        <v>65000</v>
      </c>
      <c r="D29" s="5">
        <v>0</v>
      </c>
      <c r="E29" s="5">
        <v>0</v>
      </c>
      <c r="F29" s="12">
        <f t="shared" si="0"/>
        <v>65000</v>
      </c>
    </row>
    <row r="30" spans="1:6" x14ac:dyDescent="0.3">
      <c r="A30" s="3" t="s">
        <v>69</v>
      </c>
      <c r="B30" s="3" t="s">
        <v>192</v>
      </c>
      <c r="C30" s="5">
        <v>65000</v>
      </c>
      <c r="D30" s="5">
        <v>1500</v>
      </c>
      <c r="E30" s="5">
        <v>300</v>
      </c>
      <c r="F30" s="12">
        <f t="shared" si="0"/>
        <v>66200</v>
      </c>
    </row>
    <row r="31" spans="1:6" x14ac:dyDescent="0.3">
      <c r="A31" s="3" t="s">
        <v>74</v>
      </c>
      <c r="B31" s="3" t="s">
        <v>192</v>
      </c>
      <c r="C31" s="5">
        <v>35000</v>
      </c>
      <c r="D31" s="5">
        <v>0</v>
      </c>
      <c r="E31" s="5">
        <v>500</v>
      </c>
      <c r="F31" s="12">
        <f t="shared" si="0"/>
        <v>34500</v>
      </c>
    </row>
    <row r="32" spans="1:6" x14ac:dyDescent="0.3">
      <c r="A32" s="3" t="s">
        <v>79</v>
      </c>
      <c r="B32" s="3" t="s">
        <v>192</v>
      </c>
      <c r="C32" s="5">
        <v>35000</v>
      </c>
      <c r="D32" s="5">
        <v>1000</v>
      </c>
      <c r="E32" s="5">
        <v>0</v>
      </c>
      <c r="F32" s="12">
        <f t="shared" si="0"/>
        <v>36000</v>
      </c>
    </row>
    <row r="33" spans="1:6" x14ac:dyDescent="0.3">
      <c r="A33" s="3" t="s">
        <v>87</v>
      </c>
      <c r="B33" s="3" t="s">
        <v>192</v>
      </c>
      <c r="C33" s="5">
        <v>45000</v>
      </c>
      <c r="D33" s="5">
        <v>500</v>
      </c>
      <c r="E33" s="5">
        <v>500</v>
      </c>
      <c r="F33" s="12">
        <f t="shared" si="0"/>
        <v>45000</v>
      </c>
    </row>
    <row r="34" spans="1:6" x14ac:dyDescent="0.3">
      <c r="A34" s="3" t="s">
        <v>91</v>
      </c>
      <c r="B34" s="3" t="s">
        <v>192</v>
      </c>
      <c r="C34" s="5">
        <v>65000</v>
      </c>
      <c r="D34" s="5">
        <v>0</v>
      </c>
      <c r="E34" s="5">
        <v>200</v>
      </c>
      <c r="F34" s="12">
        <f t="shared" si="0"/>
        <v>64800</v>
      </c>
    </row>
    <row r="35" spans="1:6" x14ac:dyDescent="0.3">
      <c r="A35" s="3" t="s">
        <v>95</v>
      </c>
      <c r="B35" s="3" t="s">
        <v>192</v>
      </c>
      <c r="C35" s="5">
        <v>52000</v>
      </c>
      <c r="D35" s="5">
        <v>0</v>
      </c>
      <c r="E35" s="5">
        <v>500</v>
      </c>
      <c r="F35" s="12">
        <f t="shared" si="0"/>
        <v>51500</v>
      </c>
    </row>
    <row r="36" spans="1:6" x14ac:dyDescent="0.3">
      <c r="A36" s="3" t="s">
        <v>99</v>
      </c>
      <c r="B36" s="3" t="s">
        <v>192</v>
      </c>
      <c r="C36" s="5">
        <v>60000</v>
      </c>
      <c r="D36" s="5">
        <v>500</v>
      </c>
      <c r="E36" s="5">
        <v>0</v>
      </c>
      <c r="F36" s="12">
        <f t="shared" si="0"/>
        <v>60500</v>
      </c>
    </row>
    <row r="37" spans="1:6" x14ac:dyDescent="0.3">
      <c r="A37" s="3" t="s">
        <v>103</v>
      </c>
      <c r="B37" s="3" t="s">
        <v>192</v>
      </c>
      <c r="C37" s="5">
        <v>32000</v>
      </c>
      <c r="D37" s="5">
        <v>2000</v>
      </c>
      <c r="E37" s="5">
        <v>0</v>
      </c>
      <c r="F37" s="12">
        <f t="shared" si="0"/>
        <v>34000</v>
      </c>
    </row>
    <row r="38" spans="1:6" x14ac:dyDescent="0.3">
      <c r="A38" s="3" t="s">
        <v>107</v>
      </c>
      <c r="B38" s="3" t="s">
        <v>192</v>
      </c>
      <c r="C38" s="5">
        <v>65000</v>
      </c>
      <c r="D38" s="5">
        <v>2000</v>
      </c>
      <c r="E38" s="5">
        <v>0</v>
      </c>
      <c r="F38" s="12">
        <f t="shared" si="0"/>
        <v>67000</v>
      </c>
    </row>
    <row r="39" spans="1:6" x14ac:dyDescent="0.3">
      <c r="A39" s="3" t="s">
        <v>115</v>
      </c>
      <c r="B39" s="3" t="s">
        <v>192</v>
      </c>
      <c r="C39" s="5">
        <v>35000</v>
      </c>
      <c r="D39" s="5">
        <v>1000</v>
      </c>
      <c r="E39" s="5">
        <v>300</v>
      </c>
      <c r="F39" s="12">
        <f t="shared" si="0"/>
        <v>35700</v>
      </c>
    </row>
    <row r="40" spans="1:6" x14ac:dyDescent="0.3">
      <c r="A40" s="3" t="s">
        <v>119</v>
      </c>
      <c r="B40" s="3" t="s">
        <v>192</v>
      </c>
      <c r="C40" s="5">
        <v>35000</v>
      </c>
      <c r="D40" s="5">
        <v>1500</v>
      </c>
      <c r="E40" s="5">
        <v>0</v>
      </c>
      <c r="F40" s="12">
        <f t="shared" si="0"/>
        <v>36500</v>
      </c>
    </row>
    <row r="41" spans="1:6" x14ac:dyDescent="0.3">
      <c r="A41" s="3" t="s">
        <v>123</v>
      </c>
      <c r="B41" s="3" t="s">
        <v>192</v>
      </c>
      <c r="C41" s="5">
        <v>35000</v>
      </c>
      <c r="D41" s="5">
        <v>1000</v>
      </c>
      <c r="E41" s="5">
        <v>200</v>
      </c>
      <c r="F41" s="12">
        <f t="shared" si="0"/>
        <v>35800</v>
      </c>
    </row>
    <row r="42" spans="1:6" x14ac:dyDescent="0.3">
      <c r="A42" s="3" t="s">
        <v>127</v>
      </c>
      <c r="B42" s="3" t="s">
        <v>192</v>
      </c>
      <c r="C42" s="5">
        <v>56000</v>
      </c>
      <c r="D42" s="5">
        <v>1000</v>
      </c>
      <c r="E42" s="5">
        <v>500</v>
      </c>
      <c r="F42" s="12">
        <f t="shared" si="0"/>
        <v>56500</v>
      </c>
    </row>
    <row r="43" spans="1:6" x14ac:dyDescent="0.3">
      <c r="A43" s="3" t="s">
        <v>131</v>
      </c>
      <c r="B43" s="3" t="s">
        <v>192</v>
      </c>
      <c r="C43" s="5">
        <v>32000</v>
      </c>
      <c r="D43" s="5">
        <v>2000</v>
      </c>
      <c r="E43" s="5">
        <v>500</v>
      </c>
      <c r="F43" s="12">
        <f t="shared" si="0"/>
        <v>33500</v>
      </c>
    </row>
    <row r="44" spans="1:6" x14ac:dyDescent="0.3">
      <c r="A44" s="3" t="s">
        <v>135</v>
      </c>
      <c r="B44" s="3" t="s">
        <v>192</v>
      </c>
      <c r="C44" s="5">
        <v>48000</v>
      </c>
      <c r="D44" s="5">
        <v>1000</v>
      </c>
      <c r="E44" s="5">
        <v>200</v>
      </c>
      <c r="F44" s="12">
        <f t="shared" si="0"/>
        <v>48800</v>
      </c>
    </row>
    <row r="45" spans="1:6" x14ac:dyDescent="0.3">
      <c r="A45" s="3" t="s">
        <v>143</v>
      </c>
      <c r="B45" s="3" t="s">
        <v>192</v>
      </c>
      <c r="C45" s="5">
        <v>32000</v>
      </c>
      <c r="D45" s="5">
        <v>1000</v>
      </c>
      <c r="E45" s="5">
        <v>300</v>
      </c>
      <c r="F45" s="12">
        <f t="shared" si="0"/>
        <v>32700</v>
      </c>
    </row>
    <row r="46" spans="1:6" x14ac:dyDescent="0.3">
      <c r="A46" s="3" t="s">
        <v>147</v>
      </c>
      <c r="B46" s="3" t="s">
        <v>192</v>
      </c>
      <c r="C46" s="5">
        <v>48000</v>
      </c>
      <c r="D46" s="5">
        <v>2000</v>
      </c>
      <c r="E46" s="5">
        <v>300</v>
      </c>
      <c r="F46" s="12">
        <f t="shared" si="0"/>
        <v>49700</v>
      </c>
    </row>
    <row r="47" spans="1:6" x14ac:dyDescent="0.3">
      <c r="A47" s="3" t="s">
        <v>151</v>
      </c>
      <c r="B47" s="3" t="s">
        <v>192</v>
      </c>
      <c r="C47" s="5">
        <v>65000</v>
      </c>
      <c r="D47" s="5">
        <v>1000</v>
      </c>
      <c r="E47" s="5">
        <v>0</v>
      </c>
      <c r="F47" s="12">
        <f t="shared" si="0"/>
        <v>66000</v>
      </c>
    </row>
    <row r="48" spans="1:6" x14ac:dyDescent="0.3">
      <c r="A48" s="3" t="s">
        <v>155</v>
      </c>
      <c r="B48" s="3" t="s">
        <v>192</v>
      </c>
      <c r="C48" s="5">
        <v>52000</v>
      </c>
      <c r="D48" s="5">
        <v>1500</v>
      </c>
      <c r="E48" s="5">
        <v>0</v>
      </c>
      <c r="F48" s="12">
        <f t="shared" si="0"/>
        <v>53500</v>
      </c>
    </row>
    <row r="49" spans="1:6" x14ac:dyDescent="0.3">
      <c r="A49" s="3" t="s">
        <v>163</v>
      </c>
      <c r="B49" s="3" t="s">
        <v>192</v>
      </c>
      <c r="C49" s="5">
        <v>65000</v>
      </c>
      <c r="D49" s="5">
        <v>1500</v>
      </c>
      <c r="E49" s="5">
        <v>200</v>
      </c>
      <c r="F49" s="12">
        <f t="shared" si="0"/>
        <v>66300</v>
      </c>
    </row>
    <row r="50" spans="1:6" x14ac:dyDescent="0.3">
      <c r="A50" s="3" t="s">
        <v>39</v>
      </c>
      <c r="B50" s="3" t="s">
        <v>193</v>
      </c>
      <c r="C50" s="5">
        <v>48000</v>
      </c>
      <c r="D50" s="5">
        <v>1500</v>
      </c>
      <c r="E50" s="5">
        <v>500</v>
      </c>
      <c r="F50" s="12">
        <f t="shared" si="0"/>
        <v>49000</v>
      </c>
    </row>
    <row r="51" spans="1:6" x14ac:dyDescent="0.3">
      <c r="A51" s="3" t="s">
        <v>44</v>
      </c>
      <c r="B51" s="3" t="s">
        <v>193</v>
      </c>
      <c r="C51" s="5">
        <v>60000</v>
      </c>
      <c r="D51" s="5">
        <v>1000</v>
      </c>
      <c r="E51" s="5">
        <v>300</v>
      </c>
      <c r="F51" s="12">
        <f t="shared" si="0"/>
        <v>60700</v>
      </c>
    </row>
    <row r="52" spans="1:6" x14ac:dyDescent="0.3">
      <c r="A52" s="3" t="s">
        <v>54</v>
      </c>
      <c r="B52" s="3" t="s">
        <v>193</v>
      </c>
      <c r="C52" s="5">
        <v>60000</v>
      </c>
      <c r="D52" s="5">
        <v>0</v>
      </c>
      <c r="E52" s="5">
        <v>200</v>
      </c>
      <c r="F52" s="12">
        <f t="shared" si="0"/>
        <v>59800</v>
      </c>
    </row>
    <row r="53" spans="1:6" x14ac:dyDescent="0.3">
      <c r="A53" s="3" t="s">
        <v>59</v>
      </c>
      <c r="B53" s="3" t="s">
        <v>193</v>
      </c>
      <c r="C53" s="5">
        <v>35000</v>
      </c>
      <c r="D53" s="5">
        <v>0</v>
      </c>
      <c r="E53" s="5">
        <v>200</v>
      </c>
      <c r="F53" s="12">
        <f t="shared" si="0"/>
        <v>34800</v>
      </c>
    </row>
    <row r="54" spans="1:6" x14ac:dyDescent="0.3">
      <c r="A54" s="3" t="s">
        <v>64</v>
      </c>
      <c r="B54" s="3" t="s">
        <v>193</v>
      </c>
      <c r="C54" s="5">
        <v>65000</v>
      </c>
      <c r="D54" s="5">
        <v>2000</v>
      </c>
      <c r="E54" s="5">
        <v>500</v>
      </c>
      <c r="F54" s="12">
        <f t="shared" si="0"/>
        <v>66500</v>
      </c>
    </row>
    <row r="55" spans="1:6" x14ac:dyDescent="0.3">
      <c r="A55" s="3" t="s">
        <v>69</v>
      </c>
      <c r="B55" s="3" t="s">
        <v>193</v>
      </c>
      <c r="C55" s="5">
        <v>65000</v>
      </c>
      <c r="D55" s="5">
        <v>1000</v>
      </c>
      <c r="E55" s="5">
        <v>300</v>
      </c>
      <c r="F55" s="12">
        <f t="shared" si="0"/>
        <v>65700</v>
      </c>
    </row>
    <row r="56" spans="1:6" x14ac:dyDescent="0.3">
      <c r="A56" s="3" t="s">
        <v>74</v>
      </c>
      <c r="B56" s="3" t="s">
        <v>193</v>
      </c>
      <c r="C56" s="5">
        <v>35000</v>
      </c>
      <c r="D56" s="5">
        <v>1500</v>
      </c>
      <c r="E56" s="5">
        <v>200</v>
      </c>
      <c r="F56" s="12">
        <f t="shared" si="0"/>
        <v>36300</v>
      </c>
    </row>
    <row r="57" spans="1:6" x14ac:dyDescent="0.3">
      <c r="A57" s="3" t="s">
        <v>79</v>
      </c>
      <c r="B57" s="3" t="s">
        <v>193</v>
      </c>
      <c r="C57" s="5">
        <v>35000</v>
      </c>
      <c r="D57" s="5">
        <v>500</v>
      </c>
      <c r="E57" s="5">
        <v>500</v>
      </c>
      <c r="F57" s="12">
        <f t="shared" si="0"/>
        <v>35000</v>
      </c>
    </row>
    <row r="58" spans="1:6" x14ac:dyDescent="0.3">
      <c r="A58" s="3" t="s">
        <v>87</v>
      </c>
      <c r="B58" s="3" t="s">
        <v>193</v>
      </c>
      <c r="C58" s="5">
        <v>45000</v>
      </c>
      <c r="D58" s="5">
        <v>0</v>
      </c>
      <c r="E58" s="5">
        <v>0</v>
      </c>
      <c r="F58" s="12">
        <f t="shared" si="0"/>
        <v>45000</v>
      </c>
    </row>
    <row r="59" spans="1:6" x14ac:dyDescent="0.3">
      <c r="A59" s="3" t="s">
        <v>91</v>
      </c>
      <c r="B59" s="3" t="s">
        <v>193</v>
      </c>
      <c r="C59" s="5">
        <v>65000</v>
      </c>
      <c r="D59" s="5">
        <v>0</v>
      </c>
      <c r="E59" s="5">
        <v>300</v>
      </c>
      <c r="F59" s="12">
        <f t="shared" si="0"/>
        <v>64700</v>
      </c>
    </row>
    <row r="60" spans="1:6" x14ac:dyDescent="0.3">
      <c r="A60" s="3" t="s">
        <v>95</v>
      </c>
      <c r="B60" s="3" t="s">
        <v>193</v>
      </c>
      <c r="C60" s="5">
        <v>52000</v>
      </c>
      <c r="D60" s="5">
        <v>0</v>
      </c>
      <c r="E60" s="5">
        <v>500</v>
      </c>
      <c r="F60" s="12">
        <f t="shared" si="0"/>
        <v>51500</v>
      </c>
    </row>
    <row r="61" spans="1:6" x14ac:dyDescent="0.3">
      <c r="A61" s="3" t="s">
        <v>99</v>
      </c>
      <c r="B61" s="3" t="s">
        <v>193</v>
      </c>
      <c r="C61" s="5">
        <v>60000</v>
      </c>
      <c r="D61" s="5">
        <v>1000</v>
      </c>
      <c r="E61" s="5">
        <v>0</v>
      </c>
      <c r="F61" s="12">
        <f t="shared" si="0"/>
        <v>61000</v>
      </c>
    </row>
    <row r="62" spans="1:6" x14ac:dyDescent="0.3">
      <c r="A62" s="3" t="s">
        <v>103</v>
      </c>
      <c r="B62" s="3" t="s">
        <v>193</v>
      </c>
      <c r="C62" s="5">
        <v>32000</v>
      </c>
      <c r="D62" s="5">
        <v>1000</v>
      </c>
      <c r="E62" s="5">
        <v>0</v>
      </c>
      <c r="F62" s="12">
        <f t="shared" si="0"/>
        <v>33000</v>
      </c>
    </row>
    <row r="63" spans="1:6" x14ac:dyDescent="0.3">
      <c r="A63" s="3" t="s">
        <v>107</v>
      </c>
      <c r="B63" s="3" t="s">
        <v>193</v>
      </c>
      <c r="C63" s="5">
        <v>65000</v>
      </c>
      <c r="D63" s="5">
        <v>1500</v>
      </c>
      <c r="E63" s="5">
        <v>0</v>
      </c>
      <c r="F63" s="12">
        <f t="shared" si="0"/>
        <v>66500</v>
      </c>
    </row>
    <row r="64" spans="1:6" x14ac:dyDescent="0.3">
      <c r="A64" s="3" t="s">
        <v>115</v>
      </c>
      <c r="B64" s="3" t="s">
        <v>193</v>
      </c>
      <c r="C64" s="5">
        <v>35000</v>
      </c>
      <c r="D64" s="5">
        <v>1500</v>
      </c>
      <c r="E64" s="5">
        <v>200</v>
      </c>
      <c r="F64" s="12">
        <f t="shared" si="0"/>
        <v>36300</v>
      </c>
    </row>
    <row r="65" spans="1:6" x14ac:dyDescent="0.3">
      <c r="A65" s="3" t="s">
        <v>119</v>
      </c>
      <c r="B65" s="3" t="s">
        <v>193</v>
      </c>
      <c r="C65" s="5">
        <v>35000</v>
      </c>
      <c r="D65" s="5">
        <v>2000</v>
      </c>
      <c r="E65" s="5">
        <v>300</v>
      </c>
      <c r="F65" s="12">
        <f t="shared" si="0"/>
        <v>36700</v>
      </c>
    </row>
    <row r="66" spans="1:6" x14ac:dyDescent="0.3">
      <c r="A66" s="3" t="s">
        <v>123</v>
      </c>
      <c r="B66" s="3" t="s">
        <v>193</v>
      </c>
      <c r="C66" s="5">
        <v>35000</v>
      </c>
      <c r="D66" s="5">
        <v>0</v>
      </c>
      <c r="E66" s="5">
        <v>0</v>
      </c>
      <c r="F66" s="12">
        <f t="shared" ref="F66:F129" si="1">C66+D66-E66</f>
        <v>35000</v>
      </c>
    </row>
    <row r="67" spans="1:6" x14ac:dyDescent="0.3">
      <c r="A67" s="3" t="s">
        <v>127</v>
      </c>
      <c r="B67" s="3" t="s">
        <v>193</v>
      </c>
      <c r="C67" s="5">
        <v>56000</v>
      </c>
      <c r="D67" s="5">
        <v>2000</v>
      </c>
      <c r="E67" s="5">
        <v>200</v>
      </c>
      <c r="F67" s="12">
        <f t="shared" si="1"/>
        <v>57800</v>
      </c>
    </row>
    <row r="68" spans="1:6" x14ac:dyDescent="0.3">
      <c r="A68" s="3" t="s">
        <v>131</v>
      </c>
      <c r="B68" s="3" t="s">
        <v>193</v>
      </c>
      <c r="C68" s="5">
        <v>32000</v>
      </c>
      <c r="D68" s="5">
        <v>1500</v>
      </c>
      <c r="E68" s="5">
        <v>300</v>
      </c>
      <c r="F68" s="12">
        <f t="shared" si="1"/>
        <v>33200</v>
      </c>
    </row>
    <row r="69" spans="1:6" x14ac:dyDescent="0.3">
      <c r="A69" s="3" t="s">
        <v>135</v>
      </c>
      <c r="B69" s="3" t="s">
        <v>193</v>
      </c>
      <c r="C69" s="5">
        <v>48000</v>
      </c>
      <c r="D69" s="5">
        <v>1500</v>
      </c>
      <c r="E69" s="5">
        <v>0</v>
      </c>
      <c r="F69" s="12">
        <f t="shared" si="1"/>
        <v>49500</v>
      </c>
    </row>
    <row r="70" spans="1:6" x14ac:dyDescent="0.3">
      <c r="A70" s="3" t="s">
        <v>143</v>
      </c>
      <c r="B70" s="3" t="s">
        <v>193</v>
      </c>
      <c r="C70" s="5">
        <v>32000</v>
      </c>
      <c r="D70" s="5">
        <v>0</v>
      </c>
      <c r="E70" s="5">
        <v>300</v>
      </c>
      <c r="F70" s="12">
        <f t="shared" si="1"/>
        <v>31700</v>
      </c>
    </row>
    <row r="71" spans="1:6" x14ac:dyDescent="0.3">
      <c r="A71" s="3" t="s">
        <v>147</v>
      </c>
      <c r="B71" s="3" t="s">
        <v>193</v>
      </c>
      <c r="C71" s="5">
        <v>48000</v>
      </c>
      <c r="D71" s="5">
        <v>1500</v>
      </c>
      <c r="E71" s="5">
        <v>0</v>
      </c>
      <c r="F71" s="12">
        <f t="shared" si="1"/>
        <v>49500</v>
      </c>
    </row>
    <row r="72" spans="1:6" x14ac:dyDescent="0.3">
      <c r="A72" s="3" t="s">
        <v>151</v>
      </c>
      <c r="B72" s="3" t="s">
        <v>193</v>
      </c>
      <c r="C72" s="5">
        <v>65000</v>
      </c>
      <c r="D72" s="5">
        <v>0</v>
      </c>
      <c r="E72" s="5">
        <v>0</v>
      </c>
      <c r="F72" s="12">
        <f t="shared" si="1"/>
        <v>65000</v>
      </c>
    </row>
    <row r="73" spans="1:6" x14ac:dyDescent="0.3">
      <c r="A73" s="3" t="s">
        <v>155</v>
      </c>
      <c r="B73" s="3" t="s">
        <v>193</v>
      </c>
      <c r="C73" s="5">
        <v>52000</v>
      </c>
      <c r="D73" s="5">
        <v>1500</v>
      </c>
      <c r="E73" s="5">
        <v>0</v>
      </c>
      <c r="F73" s="12">
        <f t="shared" si="1"/>
        <v>53500</v>
      </c>
    </row>
    <row r="74" spans="1:6" x14ac:dyDescent="0.3">
      <c r="A74" s="3" t="s">
        <v>163</v>
      </c>
      <c r="B74" s="3" t="s">
        <v>193</v>
      </c>
      <c r="C74" s="5">
        <v>65000</v>
      </c>
      <c r="D74" s="5">
        <v>0</v>
      </c>
      <c r="E74" s="5">
        <v>500</v>
      </c>
      <c r="F74" s="12">
        <f t="shared" si="1"/>
        <v>64500</v>
      </c>
    </row>
    <row r="75" spans="1:6" x14ac:dyDescent="0.3">
      <c r="A75" s="3" t="s">
        <v>39</v>
      </c>
      <c r="B75" s="3" t="s">
        <v>194</v>
      </c>
      <c r="C75" s="5">
        <v>48000</v>
      </c>
      <c r="D75" s="5">
        <v>1500</v>
      </c>
      <c r="E75" s="5">
        <v>300</v>
      </c>
      <c r="F75" s="12">
        <f t="shared" si="1"/>
        <v>49200</v>
      </c>
    </row>
    <row r="76" spans="1:6" x14ac:dyDescent="0.3">
      <c r="A76" s="3" t="s">
        <v>44</v>
      </c>
      <c r="B76" s="3" t="s">
        <v>194</v>
      </c>
      <c r="C76" s="5">
        <v>60000</v>
      </c>
      <c r="D76" s="5">
        <v>0</v>
      </c>
      <c r="E76" s="5">
        <v>200</v>
      </c>
      <c r="F76" s="12">
        <f t="shared" si="1"/>
        <v>59800</v>
      </c>
    </row>
    <row r="77" spans="1:6" x14ac:dyDescent="0.3">
      <c r="A77" s="3" t="s">
        <v>54</v>
      </c>
      <c r="B77" s="3" t="s">
        <v>194</v>
      </c>
      <c r="C77" s="5">
        <v>60000</v>
      </c>
      <c r="D77" s="5">
        <v>0</v>
      </c>
      <c r="E77" s="5">
        <v>200</v>
      </c>
      <c r="F77" s="12">
        <f t="shared" si="1"/>
        <v>59800</v>
      </c>
    </row>
    <row r="78" spans="1:6" x14ac:dyDescent="0.3">
      <c r="A78" s="3" t="s">
        <v>59</v>
      </c>
      <c r="B78" s="3" t="s">
        <v>194</v>
      </c>
      <c r="C78" s="5">
        <v>35000</v>
      </c>
      <c r="D78" s="5">
        <v>0</v>
      </c>
      <c r="E78" s="5">
        <v>200</v>
      </c>
      <c r="F78" s="12">
        <f t="shared" si="1"/>
        <v>34800</v>
      </c>
    </row>
    <row r="79" spans="1:6" x14ac:dyDescent="0.3">
      <c r="A79" s="3" t="s">
        <v>64</v>
      </c>
      <c r="B79" s="3" t="s">
        <v>194</v>
      </c>
      <c r="C79" s="5">
        <v>65000</v>
      </c>
      <c r="D79" s="5">
        <v>0</v>
      </c>
      <c r="E79" s="5">
        <v>0</v>
      </c>
      <c r="F79" s="12">
        <f t="shared" si="1"/>
        <v>65000</v>
      </c>
    </row>
    <row r="80" spans="1:6" x14ac:dyDescent="0.3">
      <c r="A80" s="3" t="s">
        <v>69</v>
      </c>
      <c r="B80" s="3" t="s">
        <v>194</v>
      </c>
      <c r="C80" s="5">
        <v>65000</v>
      </c>
      <c r="D80" s="5">
        <v>1000</v>
      </c>
      <c r="E80" s="5">
        <v>300</v>
      </c>
      <c r="F80" s="12">
        <f t="shared" si="1"/>
        <v>65700</v>
      </c>
    </row>
    <row r="81" spans="1:6" x14ac:dyDescent="0.3">
      <c r="A81" s="3" t="s">
        <v>74</v>
      </c>
      <c r="B81" s="3" t="s">
        <v>194</v>
      </c>
      <c r="C81" s="5">
        <v>35000</v>
      </c>
      <c r="D81" s="5">
        <v>1500</v>
      </c>
      <c r="E81" s="5">
        <v>300</v>
      </c>
      <c r="F81" s="12">
        <f t="shared" si="1"/>
        <v>36200</v>
      </c>
    </row>
    <row r="82" spans="1:6" x14ac:dyDescent="0.3">
      <c r="A82" s="3" t="s">
        <v>79</v>
      </c>
      <c r="B82" s="3" t="s">
        <v>194</v>
      </c>
      <c r="C82" s="5">
        <v>35000</v>
      </c>
      <c r="D82" s="5">
        <v>0</v>
      </c>
      <c r="E82" s="5">
        <v>200</v>
      </c>
      <c r="F82" s="12">
        <f t="shared" si="1"/>
        <v>34800</v>
      </c>
    </row>
    <row r="83" spans="1:6" x14ac:dyDescent="0.3">
      <c r="A83" s="3" t="s">
        <v>87</v>
      </c>
      <c r="B83" s="3" t="s">
        <v>194</v>
      </c>
      <c r="C83" s="5">
        <v>45000</v>
      </c>
      <c r="D83" s="5">
        <v>2000</v>
      </c>
      <c r="E83" s="5">
        <v>500</v>
      </c>
      <c r="F83" s="12">
        <f t="shared" si="1"/>
        <v>46500</v>
      </c>
    </row>
    <row r="84" spans="1:6" x14ac:dyDescent="0.3">
      <c r="A84" s="3" t="s">
        <v>91</v>
      </c>
      <c r="B84" s="3" t="s">
        <v>194</v>
      </c>
      <c r="C84" s="5">
        <v>65000</v>
      </c>
      <c r="D84" s="5">
        <v>0</v>
      </c>
      <c r="E84" s="5">
        <v>0</v>
      </c>
      <c r="F84" s="12">
        <f t="shared" si="1"/>
        <v>65000</v>
      </c>
    </row>
    <row r="85" spans="1:6" x14ac:dyDescent="0.3">
      <c r="A85" s="3" t="s">
        <v>95</v>
      </c>
      <c r="B85" s="3" t="s">
        <v>194</v>
      </c>
      <c r="C85" s="5">
        <v>52000</v>
      </c>
      <c r="D85" s="5">
        <v>500</v>
      </c>
      <c r="E85" s="5">
        <v>0</v>
      </c>
      <c r="F85" s="12">
        <f t="shared" si="1"/>
        <v>52500</v>
      </c>
    </row>
    <row r="86" spans="1:6" x14ac:dyDescent="0.3">
      <c r="A86" s="3" t="s">
        <v>99</v>
      </c>
      <c r="B86" s="3" t="s">
        <v>194</v>
      </c>
      <c r="C86" s="5">
        <v>60000</v>
      </c>
      <c r="D86" s="5">
        <v>1000</v>
      </c>
      <c r="E86" s="5">
        <v>200</v>
      </c>
      <c r="F86" s="12">
        <f t="shared" si="1"/>
        <v>60800</v>
      </c>
    </row>
    <row r="87" spans="1:6" x14ac:dyDescent="0.3">
      <c r="A87" s="3" t="s">
        <v>103</v>
      </c>
      <c r="B87" s="3" t="s">
        <v>194</v>
      </c>
      <c r="C87" s="5">
        <v>32000</v>
      </c>
      <c r="D87" s="5">
        <v>500</v>
      </c>
      <c r="E87" s="5">
        <v>200</v>
      </c>
      <c r="F87" s="12">
        <f t="shared" si="1"/>
        <v>32300</v>
      </c>
    </row>
    <row r="88" spans="1:6" x14ac:dyDescent="0.3">
      <c r="A88" s="3" t="s">
        <v>107</v>
      </c>
      <c r="B88" s="3" t="s">
        <v>194</v>
      </c>
      <c r="C88" s="5">
        <v>65000</v>
      </c>
      <c r="D88" s="5">
        <v>1000</v>
      </c>
      <c r="E88" s="5">
        <v>0</v>
      </c>
      <c r="F88" s="12">
        <f t="shared" si="1"/>
        <v>66000</v>
      </c>
    </row>
    <row r="89" spans="1:6" x14ac:dyDescent="0.3">
      <c r="A89" s="3" t="s">
        <v>115</v>
      </c>
      <c r="B89" s="3" t="s">
        <v>194</v>
      </c>
      <c r="C89" s="5">
        <v>35000</v>
      </c>
      <c r="D89" s="5">
        <v>1000</v>
      </c>
      <c r="E89" s="5">
        <v>0</v>
      </c>
      <c r="F89" s="12">
        <f t="shared" si="1"/>
        <v>36000</v>
      </c>
    </row>
    <row r="90" spans="1:6" x14ac:dyDescent="0.3">
      <c r="A90" s="3" t="s">
        <v>119</v>
      </c>
      <c r="B90" s="3" t="s">
        <v>194</v>
      </c>
      <c r="C90" s="5">
        <v>35000</v>
      </c>
      <c r="D90" s="5">
        <v>0</v>
      </c>
      <c r="E90" s="5">
        <v>200</v>
      </c>
      <c r="F90" s="12">
        <f t="shared" si="1"/>
        <v>34800</v>
      </c>
    </row>
    <row r="91" spans="1:6" x14ac:dyDescent="0.3">
      <c r="A91" s="3" t="s">
        <v>123</v>
      </c>
      <c r="B91" s="3" t="s">
        <v>194</v>
      </c>
      <c r="C91" s="5">
        <v>35000</v>
      </c>
      <c r="D91" s="5">
        <v>2000</v>
      </c>
      <c r="E91" s="5">
        <v>0</v>
      </c>
      <c r="F91" s="12">
        <f t="shared" si="1"/>
        <v>37000</v>
      </c>
    </row>
    <row r="92" spans="1:6" x14ac:dyDescent="0.3">
      <c r="A92" s="3" t="s">
        <v>127</v>
      </c>
      <c r="B92" s="3" t="s">
        <v>194</v>
      </c>
      <c r="C92" s="5">
        <v>56000</v>
      </c>
      <c r="D92" s="5">
        <v>0</v>
      </c>
      <c r="E92" s="5">
        <v>200</v>
      </c>
      <c r="F92" s="12">
        <f t="shared" si="1"/>
        <v>55800</v>
      </c>
    </row>
    <row r="93" spans="1:6" x14ac:dyDescent="0.3">
      <c r="A93" s="3" t="s">
        <v>131</v>
      </c>
      <c r="B93" s="3" t="s">
        <v>194</v>
      </c>
      <c r="C93" s="5">
        <v>32000</v>
      </c>
      <c r="D93" s="5">
        <v>500</v>
      </c>
      <c r="E93" s="5">
        <v>300</v>
      </c>
      <c r="F93" s="12">
        <f t="shared" si="1"/>
        <v>32200</v>
      </c>
    </row>
    <row r="94" spans="1:6" x14ac:dyDescent="0.3">
      <c r="A94" s="3" t="s">
        <v>135</v>
      </c>
      <c r="B94" s="3" t="s">
        <v>194</v>
      </c>
      <c r="C94" s="5">
        <v>48000</v>
      </c>
      <c r="D94" s="5">
        <v>0</v>
      </c>
      <c r="E94" s="5">
        <v>0</v>
      </c>
      <c r="F94" s="12">
        <f t="shared" si="1"/>
        <v>48000</v>
      </c>
    </row>
    <row r="95" spans="1:6" x14ac:dyDescent="0.3">
      <c r="A95" s="3" t="s">
        <v>139</v>
      </c>
      <c r="B95" s="3" t="s">
        <v>194</v>
      </c>
      <c r="C95" s="5">
        <v>42000</v>
      </c>
      <c r="D95" s="5">
        <v>2000</v>
      </c>
      <c r="E95" s="5">
        <v>500</v>
      </c>
      <c r="F95" s="12">
        <f t="shared" si="1"/>
        <v>43500</v>
      </c>
    </row>
    <row r="96" spans="1:6" x14ac:dyDescent="0.3">
      <c r="A96" s="3" t="s">
        <v>143</v>
      </c>
      <c r="B96" s="3" t="s">
        <v>194</v>
      </c>
      <c r="C96" s="5">
        <v>32000</v>
      </c>
      <c r="D96" s="5">
        <v>0</v>
      </c>
      <c r="E96" s="5">
        <v>500</v>
      </c>
      <c r="F96" s="12">
        <f t="shared" si="1"/>
        <v>31500</v>
      </c>
    </row>
    <row r="97" spans="1:6" x14ac:dyDescent="0.3">
      <c r="A97" s="3" t="s">
        <v>147</v>
      </c>
      <c r="B97" s="3" t="s">
        <v>194</v>
      </c>
      <c r="C97" s="5">
        <v>48000</v>
      </c>
      <c r="D97" s="5">
        <v>2000</v>
      </c>
      <c r="E97" s="5">
        <v>0</v>
      </c>
      <c r="F97" s="12">
        <f t="shared" si="1"/>
        <v>50000</v>
      </c>
    </row>
    <row r="98" spans="1:6" x14ac:dyDescent="0.3">
      <c r="A98" s="3" t="s">
        <v>151</v>
      </c>
      <c r="B98" s="3" t="s">
        <v>194</v>
      </c>
      <c r="C98" s="5">
        <v>65000</v>
      </c>
      <c r="D98" s="5">
        <v>0</v>
      </c>
      <c r="E98" s="5">
        <v>0</v>
      </c>
      <c r="F98" s="12">
        <f t="shared" si="1"/>
        <v>65000</v>
      </c>
    </row>
    <row r="99" spans="1:6" x14ac:dyDescent="0.3">
      <c r="A99" s="3" t="s">
        <v>155</v>
      </c>
      <c r="B99" s="3" t="s">
        <v>194</v>
      </c>
      <c r="C99" s="5">
        <v>52000</v>
      </c>
      <c r="D99" s="5">
        <v>2000</v>
      </c>
      <c r="E99" s="5">
        <v>0</v>
      </c>
      <c r="F99" s="12">
        <f t="shared" si="1"/>
        <v>54000</v>
      </c>
    </row>
    <row r="100" spans="1:6" x14ac:dyDescent="0.3">
      <c r="A100" s="3" t="s">
        <v>163</v>
      </c>
      <c r="B100" s="3" t="s">
        <v>194</v>
      </c>
      <c r="C100" s="5">
        <v>65000</v>
      </c>
      <c r="D100" s="5">
        <v>500</v>
      </c>
      <c r="E100" s="5">
        <v>200</v>
      </c>
      <c r="F100" s="12">
        <f t="shared" si="1"/>
        <v>65300</v>
      </c>
    </row>
    <row r="101" spans="1:6" x14ac:dyDescent="0.3">
      <c r="A101" s="3" t="s">
        <v>39</v>
      </c>
      <c r="B101" s="3" t="s">
        <v>195</v>
      </c>
      <c r="C101" s="5">
        <v>48000</v>
      </c>
      <c r="D101" s="5">
        <v>500</v>
      </c>
      <c r="E101" s="5">
        <v>300</v>
      </c>
      <c r="F101" s="12">
        <f t="shared" si="1"/>
        <v>48200</v>
      </c>
    </row>
    <row r="102" spans="1:6" x14ac:dyDescent="0.3">
      <c r="A102" s="3" t="s">
        <v>44</v>
      </c>
      <c r="B102" s="3" t="s">
        <v>195</v>
      </c>
      <c r="C102" s="5">
        <v>60000</v>
      </c>
      <c r="D102" s="5">
        <v>2000</v>
      </c>
      <c r="E102" s="5">
        <v>0</v>
      </c>
      <c r="F102" s="12">
        <f t="shared" si="1"/>
        <v>62000</v>
      </c>
    </row>
    <row r="103" spans="1:6" x14ac:dyDescent="0.3">
      <c r="A103" s="3" t="s">
        <v>54</v>
      </c>
      <c r="B103" s="3" t="s">
        <v>195</v>
      </c>
      <c r="C103" s="5">
        <v>60000</v>
      </c>
      <c r="D103" s="5">
        <v>500</v>
      </c>
      <c r="E103" s="5">
        <v>300</v>
      </c>
      <c r="F103" s="12">
        <f t="shared" si="1"/>
        <v>60200</v>
      </c>
    </row>
    <row r="104" spans="1:6" x14ac:dyDescent="0.3">
      <c r="A104" s="3" t="s">
        <v>59</v>
      </c>
      <c r="B104" s="3" t="s">
        <v>195</v>
      </c>
      <c r="C104" s="5">
        <v>35000</v>
      </c>
      <c r="D104" s="5">
        <v>1000</v>
      </c>
      <c r="E104" s="5">
        <v>0</v>
      </c>
      <c r="F104" s="12">
        <f t="shared" si="1"/>
        <v>36000</v>
      </c>
    </row>
    <row r="105" spans="1:6" x14ac:dyDescent="0.3">
      <c r="A105" s="3" t="s">
        <v>64</v>
      </c>
      <c r="B105" s="3" t="s">
        <v>195</v>
      </c>
      <c r="C105" s="5">
        <v>65000</v>
      </c>
      <c r="D105" s="5">
        <v>0</v>
      </c>
      <c r="E105" s="5">
        <v>0</v>
      </c>
      <c r="F105" s="12">
        <f t="shared" si="1"/>
        <v>65000</v>
      </c>
    </row>
    <row r="106" spans="1:6" x14ac:dyDescent="0.3">
      <c r="A106" s="3" t="s">
        <v>69</v>
      </c>
      <c r="B106" s="3" t="s">
        <v>195</v>
      </c>
      <c r="C106" s="5">
        <v>65000</v>
      </c>
      <c r="D106" s="5">
        <v>500</v>
      </c>
      <c r="E106" s="5">
        <v>0</v>
      </c>
      <c r="F106" s="12">
        <f t="shared" si="1"/>
        <v>65500</v>
      </c>
    </row>
    <row r="107" spans="1:6" x14ac:dyDescent="0.3">
      <c r="A107" s="3" t="s">
        <v>74</v>
      </c>
      <c r="B107" s="3" t="s">
        <v>195</v>
      </c>
      <c r="C107" s="5">
        <v>35000</v>
      </c>
      <c r="D107" s="5">
        <v>2000</v>
      </c>
      <c r="E107" s="5">
        <v>0</v>
      </c>
      <c r="F107" s="12">
        <f t="shared" si="1"/>
        <v>37000</v>
      </c>
    </row>
    <row r="108" spans="1:6" x14ac:dyDescent="0.3">
      <c r="A108" s="3" t="s">
        <v>79</v>
      </c>
      <c r="B108" s="3" t="s">
        <v>195</v>
      </c>
      <c r="C108" s="5">
        <v>35000</v>
      </c>
      <c r="D108" s="5">
        <v>500</v>
      </c>
      <c r="E108" s="5">
        <v>0</v>
      </c>
      <c r="F108" s="12">
        <f t="shared" si="1"/>
        <v>35500</v>
      </c>
    </row>
    <row r="109" spans="1:6" x14ac:dyDescent="0.3">
      <c r="A109" s="3" t="s">
        <v>87</v>
      </c>
      <c r="B109" s="3" t="s">
        <v>195</v>
      </c>
      <c r="C109" s="5">
        <v>45000</v>
      </c>
      <c r="D109" s="5">
        <v>2000</v>
      </c>
      <c r="E109" s="5">
        <v>0</v>
      </c>
      <c r="F109" s="12">
        <f t="shared" si="1"/>
        <v>47000</v>
      </c>
    </row>
    <row r="110" spans="1:6" x14ac:dyDescent="0.3">
      <c r="A110" s="3" t="s">
        <v>91</v>
      </c>
      <c r="B110" s="3" t="s">
        <v>195</v>
      </c>
      <c r="C110" s="5">
        <v>65000</v>
      </c>
      <c r="D110" s="5">
        <v>1500</v>
      </c>
      <c r="E110" s="5">
        <v>200</v>
      </c>
      <c r="F110" s="12">
        <f t="shared" si="1"/>
        <v>66300</v>
      </c>
    </row>
    <row r="111" spans="1:6" x14ac:dyDescent="0.3">
      <c r="A111" s="3" t="s">
        <v>95</v>
      </c>
      <c r="B111" s="3" t="s">
        <v>195</v>
      </c>
      <c r="C111" s="5">
        <v>52000</v>
      </c>
      <c r="D111" s="5">
        <v>500</v>
      </c>
      <c r="E111" s="5">
        <v>200</v>
      </c>
      <c r="F111" s="12">
        <f t="shared" si="1"/>
        <v>52300</v>
      </c>
    </row>
    <row r="112" spans="1:6" x14ac:dyDescent="0.3">
      <c r="A112" s="3" t="s">
        <v>99</v>
      </c>
      <c r="B112" s="3" t="s">
        <v>195</v>
      </c>
      <c r="C112" s="5">
        <v>60000</v>
      </c>
      <c r="D112" s="5">
        <v>2000</v>
      </c>
      <c r="E112" s="5">
        <v>500</v>
      </c>
      <c r="F112" s="12">
        <f t="shared" si="1"/>
        <v>61500</v>
      </c>
    </row>
    <row r="113" spans="1:6" x14ac:dyDescent="0.3">
      <c r="A113" s="3" t="s">
        <v>103</v>
      </c>
      <c r="B113" s="3" t="s">
        <v>195</v>
      </c>
      <c r="C113" s="5">
        <v>32000</v>
      </c>
      <c r="D113" s="5">
        <v>0</v>
      </c>
      <c r="E113" s="5">
        <v>500</v>
      </c>
      <c r="F113" s="12">
        <f t="shared" si="1"/>
        <v>31500</v>
      </c>
    </row>
    <row r="114" spans="1:6" x14ac:dyDescent="0.3">
      <c r="A114" s="3" t="s">
        <v>107</v>
      </c>
      <c r="B114" s="3" t="s">
        <v>195</v>
      </c>
      <c r="C114" s="5">
        <v>65000</v>
      </c>
      <c r="D114" s="5">
        <v>1500</v>
      </c>
      <c r="E114" s="5">
        <v>0</v>
      </c>
      <c r="F114" s="12">
        <f t="shared" si="1"/>
        <v>66500</v>
      </c>
    </row>
    <row r="115" spans="1:6" x14ac:dyDescent="0.3">
      <c r="A115" s="3" t="s">
        <v>115</v>
      </c>
      <c r="B115" s="3" t="s">
        <v>195</v>
      </c>
      <c r="C115" s="5">
        <v>35000</v>
      </c>
      <c r="D115" s="5">
        <v>500</v>
      </c>
      <c r="E115" s="5">
        <v>0</v>
      </c>
      <c r="F115" s="12">
        <f t="shared" si="1"/>
        <v>35500</v>
      </c>
    </row>
    <row r="116" spans="1:6" x14ac:dyDescent="0.3">
      <c r="A116" s="3" t="s">
        <v>119</v>
      </c>
      <c r="B116" s="3" t="s">
        <v>195</v>
      </c>
      <c r="C116" s="5">
        <v>35000</v>
      </c>
      <c r="D116" s="5">
        <v>2000</v>
      </c>
      <c r="E116" s="5">
        <v>0</v>
      </c>
      <c r="F116" s="12">
        <f t="shared" si="1"/>
        <v>37000</v>
      </c>
    </row>
    <row r="117" spans="1:6" x14ac:dyDescent="0.3">
      <c r="A117" s="3" t="s">
        <v>123</v>
      </c>
      <c r="B117" s="3" t="s">
        <v>195</v>
      </c>
      <c r="C117" s="5">
        <v>35000</v>
      </c>
      <c r="D117" s="5">
        <v>500</v>
      </c>
      <c r="E117" s="5">
        <v>0</v>
      </c>
      <c r="F117" s="12">
        <f t="shared" si="1"/>
        <v>35500</v>
      </c>
    </row>
    <row r="118" spans="1:6" x14ac:dyDescent="0.3">
      <c r="A118" s="3" t="s">
        <v>127</v>
      </c>
      <c r="B118" s="3" t="s">
        <v>195</v>
      </c>
      <c r="C118" s="5">
        <v>56000</v>
      </c>
      <c r="D118" s="5">
        <v>2000</v>
      </c>
      <c r="E118" s="5">
        <v>0</v>
      </c>
      <c r="F118" s="12">
        <f t="shared" si="1"/>
        <v>58000</v>
      </c>
    </row>
    <row r="119" spans="1:6" x14ac:dyDescent="0.3">
      <c r="A119" s="3" t="s">
        <v>131</v>
      </c>
      <c r="B119" s="3" t="s">
        <v>195</v>
      </c>
      <c r="C119" s="5">
        <v>32000</v>
      </c>
      <c r="D119" s="5">
        <v>1000</v>
      </c>
      <c r="E119" s="5">
        <v>0</v>
      </c>
      <c r="F119" s="12">
        <f t="shared" si="1"/>
        <v>33000</v>
      </c>
    </row>
    <row r="120" spans="1:6" x14ac:dyDescent="0.3">
      <c r="A120" s="3" t="s">
        <v>135</v>
      </c>
      <c r="B120" s="3" t="s">
        <v>195</v>
      </c>
      <c r="C120" s="5">
        <v>48000</v>
      </c>
      <c r="D120" s="5">
        <v>1000</v>
      </c>
      <c r="E120" s="5">
        <v>500</v>
      </c>
      <c r="F120" s="12">
        <f t="shared" si="1"/>
        <v>48500</v>
      </c>
    </row>
    <row r="121" spans="1:6" x14ac:dyDescent="0.3">
      <c r="A121" s="3" t="s">
        <v>139</v>
      </c>
      <c r="B121" s="3" t="s">
        <v>195</v>
      </c>
      <c r="C121" s="5">
        <v>42000</v>
      </c>
      <c r="D121" s="5">
        <v>0</v>
      </c>
      <c r="E121" s="5">
        <v>500</v>
      </c>
      <c r="F121" s="12">
        <f t="shared" si="1"/>
        <v>41500</v>
      </c>
    </row>
    <row r="122" spans="1:6" x14ac:dyDescent="0.3">
      <c r="A122" s="3" t="s">
        <v>143</v>
      </c>
      <c r="B122" s="3" t="s">
        <v>195</v>
      </c>
      <c r="C122" s="5">
        <v>32000</v>
      </c>
      <c r="D122" s="5">
        <v>0</v>
      </c>
      <c r="E122" s="5">
        <v>0</v>
      </c>
      <c r="F122" s="12">
        <f t="shared" si="1"/>
        <v>32000</v>
      </c>
    </row>
    <row r="123" spans="1:6" x14ac:dyDescent="0.3">
      <c r="A123" s="3" t="s">
        <v>147</v>
      </c>
      <c r="B123" s="3" t="s">
        <v>195</v>
      </c>
      <c r="C123" s="5">
        <v>48000</v>
      </c>
      <c r="D123" s="5">
        <v>1500</v>
      </c>
      <c r="E123" s="5">
        <v>500</v>
      </c>
      <c r="F123" s="12">
        <f t="shared" si="1"/>
        <v>49000</v>
      </c>
    </row>
    <row r="124" spans="1:6" x14ac:dyDescent="0.3">
      <c r="A124" s="3" t="s">
        <v>151</v>
      </c>
      <c r="B124" s="3" t="s">
        <v>195</v>
      </c>
      <c r="C124" s="5">
        <v>65000</v>
      </c>
      <c r="D124" s="5">
        <v>500</v>
      </c>
      <c r="E124" s="5">
        <v>500</v>
      </c>
      <c r="F124" s="12">
        <f t="shared" si="1"/>
        <v>65000</v>
      </c>
    </row>
    <row r="125" spans="1:6" x14ac:dyDescent="0.3">
      <c r="A125" s="3" t="s">
        <v>155</v>
      </c>
      <c r="B125" s="3" t="s">
        <v>195</v>
      </c>
      <c r="C125" s="5">
        <v>52000</v>
      </c>
      <c r="D125" s="5">
        <v>500</v>
      </c>
      <c r="E125" s="5">
        <v>300</v>
      </c>
      <c r="F125" s="12">
        <f t="shared" si="1"/>
        <v>52200</v>
      </c>
    </row>
    <row r="126" spans="1:6" x14ac:dyDescent="0.3">
      <c r="A126" s="3" t="s">
        <v>163</v>
      </c>
      <c r="B126" s="3" t="s">
        <v>195</v>
      </c>
      <c r="C126" s="5">
        <v>65000</v>
      </c>
      <c r="D126" s="5">
        <v>1500</v>
      </c>
      <c r="E126" s="5">
        <v>0</v>
      </c>
      <c r="F126" s="12">
        <f t="shared" si="1"/>
        <v>66500</v>
      </c>
    </row>
    <row r="127" spans="1:6" x14ac:dyDescent="0.3">
      <c r="A127" s="3" t="s">
        <v>39</v>
      </c>
      <c r="B127" s="3" t="s">
        <v>196</v>
      </c>
      <c r="C127" s="5">
        <v>48000</v>
      </c>
      <c r="D127" s="5">
        <v>0</v>
      </c>
      <c r="E127" s="5">
        <v>200</v>
      </c>
      <c r="F127" s="12">
        <f t="shared" si="1"/>
        <v>47800</v>
      </c>
    </row>
    <row r="128" spans="1:6" x14ac:dyDescent="0.3">
      <c r="A128" s="3" t="s">
        <v>44</v>
      </c>
      <c r="B128" s="3" t="s">
        <v>196</v>
      </c>
      <c r="C128" s="5">
        <v>60000</v>
      </c>
      <c r="D128" s="5">
        <v>0</v>
      </c>
      <c r="E128" s="5">
        <v>0</v>
      </c>
      <c r="F128" s="12">
        <f t="shared" si="1"/>
        <v>60000</v>
      </c>
    </row>
    <row r="129" spans="1:6" x14ac:dyDescent="0.3">
      <c r="A129" s="3" t="s">
        <v>54</v>
      </c>
      <c r="B129" s="3" t="s">
        <v>196</v>
      </c>
      <c r="C129" s="5">
        <v>60000</v>
      </c>
      <c r="D129" s="5">
        <v>0</v>
      </c>
      <c r="E129" s="5">
        <v>200</v>
      </c>
      <c r="F129" s="12">
        <f t="shared" si="1"/>
        <v>59800</v>
      </c>
    </row>
    <row r="130" spans="1:6" x14ac:dyDescent="0.3">
      <c r="A130" s="3" t="s">
        <v>59</v>
      </c>
      <c r="B130" s="3" t="s">
        <v>196</v>
      </c>
      <c r="C130" s="5">
        <v>35000</v>
      </c>
      <c r="D130" s="5">
        <v>2000</v>
      </c>
      <c r="E130" s="5">
        <v>500</v>
      </c>
      <c r="F130" s="12">
        <f t="shared" ref="F130:F193" si="2">C130+D130-E130</f>
        <v>36500</v>
      </c>
    </row>
    <row r="131" spans="1:6" x14ac:dyDescent="0.3">
      <c r="A131" s="3" t="s">
        <v>64</v>
      </c>
      <c r="B131" s="3" t="s">
        <v>196</v>
      </c>
      <c r="C131" s="5">
        <v>65000</v>
      </c>
      <c r="D131" s="5">
        <v>0</v>
      </c>
      <c r="E131" s="5">
        <v>0</v>
      </c>
      <c r="F131" s="12">
        <f t="shared" si="2"/>
        <v>65000</v>
      </c>
    </row>
    <row r="132" spans="1:6" x14ac:dyDescent="0.3">
      <c r="A132" s="3" t="s">
        <v>69</v>
      </c>
      <c r="B132" s="3" t="s">
        <v>196</v>
      </c>
      <c r="C132" s="5">
        <v>65000</v>
      </c>
      <c r="D132" s="5">
        <v>0</v>
      </c>
      <c r="E132" s="5">
        <v>0</v>
      </c>
      <c r="F132" s="12">
        <f t="shared" si="2"/>
        <v>65000</v>
      </c>
    </row>
    <row r="133" spans="1:6" x14ac:dyDescent="0.3">
      <c r="A133" s="3" t="s">
        <v>74</v>
      </c>
      <c r="B133" s="3" t="s">
        <v>196</v>
      </c>
      <c r="C133" s="5">
        <v>35000</v>
      </c>
      <c r="D133" s="5">
        <v>1500</v>
      </c>
      <c r="E133" s="5">
        <v>300</v>
      </c>
      <c r="F133" s="12">
        <f t="shared" si="2"/>
        <v>36200</v>
      </c>
    </row>
    <row r="134" spans="1:6" x14ac:dyDescent="0.3">
      <c r="A134" s="3" t="s">
        <v>79</v>
      </c>
      <c r="B134" s="3" t="s">
        <v>196</v>
      </c>
      <c r="C134" s="5">
        <v>35000</v>
      </c>
      <c r="D134" s="5">
        <v>1500</v>
      </c>
      <c r="E134" s="5">
        <v>300</v>
      </c>
      <c r="F134" s="12">
        <f t="shared" si="2"/>
        <v>36200</v>
      </c>
    </row>
    <row r="135" spans="1:6" x14ac:dyDescent="0.3">
      <c r="A135" s="3" t="s">
        <v>83</v>
      </c>
      <c r="B135" s="3" t="s">
        <v>196</v>
      </c>
      <c r="C135" s="5">
        <v>56000</v>
      </c>
      <c r="D135" s="5">
        <v>0</v>
      </c>
      <c r="E135" s="5">
        <v>300</v>
      </c>
      <c r="F135" s="12">
        <f t="shared" si="2"/>
        <v>55700</v>
      </c>
    </row>
    <row r="136" spans="1:6" x14ac:dyDescent="0.3">
      <c r="A136" s="3" t="s">
        <v>87</v>
      </c>
      <c r="B136" s="3" t="s">
        <v>196</v>
      </c>
      <c r="C136" s="5">
        <v>45000</v>
      </c>
      <c r="D136" s="5">
        <v>0</v>
      </c>
      <c r="E136" s="5">
        <v>0</v>
      </c>
      <c r="F136" s="12">
        <f t="shared" si="2"/>
        <v>45000</v>
      </c>
    </row>
    <row r="137" spans="1:6" x14ac:dyDescent="0.3">
      <c r="A137" s="3" t="s">
        <v>91</v>
      </c>
      <c r="B137" s="3" t="s">
        <v>196</v>
      </c>
      <c r="C137" s="5">
        <v>65000</v>
      </c>
      <c r="D137" s="5">
        <v>0</v>
      </c>
      <c r="E137" s="5">
        <v>500</v>
      </c>
      <c r="F137" s="12">
        <f t="shared" si="2"/>
        <v>64500</v>
      </c>
    </row>
    <row r="138" spans="1:6" x14ac:dyDescent="0.3">
      <c r="A138" s="3" t="s">
        <v>95</v>
      </c>
      <c r="B138" s="3" t="s">
        <v>196</v>
      </c>
      <c r="C138" s="5">
        <v>52000</v>
      </c>
      <c r="D138" s="5">
        <v>2000</v>
      </c>
      <c r="E138" s="5">
        <v>200</v>
      </c>
      <c r="F138" s="12">
        <f t="shared" si="2"/>
        <v>53800</v>
      </c>
    </row>
    <row r="139" spans="1:6" x14ac:dyDescent="0.3">
      <c r="A139" s="3" t="s">
        <v>99</v>
      </c>
      <c r="B139" s="3" t="s">
        <v>196</v>
      </c>
      <c r="C139" s="5">
        <v>60000</v>
      </c>
      <c r="D139" s="5">
        <v>500</v>
      </c>
      <c r="E139" s="5">
        <v>300</v>
      </c>
      <c r="F139" s="12">
        <f t="shared" si="2"/>
        <v>60200</v>
      </c>
    </row>
    <row r="140" spans="1:6" x14ac:dyDescent="0.3">
      <c r="A140" s="3" t="s">
        <v>103</v>
      </c>
      <c r="B140" s="3" t="s">
        <v>196</v>
      </c>
      <c r="C140" s="5">
        <v>32000</v>
      </c>
      <c r="D140" s="5">
        <v>0</v>
      </c>
      <c r="E140" s="5">
        <v>500</v>
      </c>
      <c r="F140" s="12">
        <f t="shared" si="2"/>
        <v>31500</v>
      </c>
    </row>
    <row r="141" spans="1:6" x14ac:dyDescent="0.3">
      <c r="A141" s="3" t="s">
        <v>107</v>
      </c>
      <c r="B141" s="3" t="s">
        <v>196</v>
      </c>
      <c r="C141" s="5">
        <v>65000</v>
      </c>
      <c r="D141" s="5">
        <v>500</v>
      </c>
      <c r="E141" s="5">
        <v>500</v>
      </c>
      <c r="F141" s="12">
        <f t="shared" si="2"/>
        <v>65000</v>
      </c>
    </row>
    <row r="142" spans="1:6" x14ac:dyDescent="0.3">
      <c r="A142" s="3" t="s">
        <v>115</v>
      </c>
      <c r="B142" s="3" t="s">
        <v>196</v>
      </c>
      <c r="C142" s="5">
        <v>35000</v>
      </c>
      <c r="D142" s="5">
        <v>2000</v>
      </c>
      <c r="E142" s="5">
        <v>500</v>
      </c>
      <c r="F142" s="12">
        <f t="shared" si="2"/>
        <v>36500</v>
      </c>
    </row>
    <row r="143" spans="1:6" x14ac:dyDescent="0.3">
      <c r="A143" s="3" t="s">
        <v>119</v>
      </c>
      <c r="B143" s="3" t="s">
        <v>196</v>
      </c>
      <c r="C143" s="5">
        <v>35000</v>
      </c>
      <c r="D143" s="5">
        <v>2000</v>
      </c>
      <c r="E143" s="5">
        <v>500</v>
      </c>
      <c r="F143" s="12">
        <f t="shared" si="2"/>
        <v>36500</v>
      </c>
    </row>
    <row r="144" spans="1:6" x14ac:dyDescent="0.3">
      <c r="A144" s="3" t="s">
        <v>123</v>
      </c>
      <c r="B144" s="3" t="s">
        <v>196</v>
      </c>
      <c r="C144" s="5">
        <v>35000</v>
      </c>
      <c r="D144" s="5">
        <v>0</v>
      </c>
      <c r="E144" s="5">
        <v>500</v>
      </c>
      <c r="F144" s="12">
        <f t="shared" si="2"/>
        <v>34500</v>
      </c>
    </row>
    <row r="145" spans="1:6" x14ac:dyDescent="0.3">
      <c r="A145" s="3" t="s">
        <v>127</v>
      </c>
      <c r="B145" s="3" t="s">
        <v>196</v>
      </c>
      <c r="C145" s="5">
        <v>56000</v>
      </c>
      <c r="D145" s="5">
        <v>0</v>
      </c>
      <c r="E145" s="5">
        <v>0</v>
      </c>
      <c r="F145" s="12">
        <f t="shared" si="2"/>
        <v>56000</v>
      </c>
    </row>
    <row r="146" spans="1:6" x14ac:dyDescent="0.3">
      <c r="A146" s="3" t="s">
        <v>131</v>
      </c>
      <c r="B146" s="3" t="s">
        <v>196</v>
      </c>
      <c r="C146" s="5">
        <v>32000</v>
      </c>
      <c r="D146" s="5">
        <v>1500</v>
      </c>
      <c r="E146" s="5">
        <v>300</v>
      </c>
      <c r="F146" s="12">
        <f t="shared" si="2"/>
        <v>33200</v>
      </c>
    </row>
    <row r="147" spans="1:6" x14ac:dyDescent="0.3">
      <c r="A147" s="3" t="s">
        <v>135</v>
      </c>
      <c r="B147" s="3" t="s">
        <v>196</v>
      </c>
      <c r="C147" s="5">
        <v>48000</v>
      </c>
      <c r="D147" s="5">
        <v>0</v>
      </c>
      <c r="E147" s="5">
        <v>300</v>
      </c>
      <c r="F147" s="12">
        <f t="shared" si="2"/>
        <v>47700</v>
      </c>
    </row>
    <row r="148" spans="1:6" x14ac:dyDescent="0.3">
      <c r="A148" s="3" t="s">
        <v>139</v>
      </c>
      <c r="B148" s="3" t="s">
        <v>196</v>
      </c>
      <c r="C148" s="5">
        <v>42000</v>
      </c>
      <c r="D148" s="5">
        <v>1500</v>
      </c>
      <c r="E148" s="5">
        <v>200</v>
      </c>
      <c r="F148" s="12">
        <f t="shared" si="2"/>
        <v>43300</v>
      </c>
    </row>
    <row r="149" spans="1:6" x14ac:dyDescent="0.3">
      <c r="A149" s="3" t="s">
        <v>143</v>
      </c>
      <c r="B149" s="3" t="s">
        <v>196</v>
      </c>
      <c r="C149" s="5">
        <v>32000</v>
      </c>
      <c r="D149" s="5">
        <v>2000</v>
      </c>
      <c r="E149" s="5">
        <v>0</v>
      </c>
      <c r="F149" s="12">
        <f t="shared" si="2"/>
        <v>34000</v>
      </c>
    </row>
    <row r="150" spans="1:6" x14ac:dyDescent="0.3">
      <c r="A150" s="3" t="s">
        <v>147</v>
      </c>
      <c r="B150" s="3" t="s">
        <v>196</v>
      </c>
      <c r="C150" s="5">
        <v>48000</v>
      </c>
      <c r="D150" s="5">
        <v>500</v>
      </c>
      <c r="E150" s="5">
        <v>300</v>
      </c>
      <c r="F150" s="12">
        <f t="shared" si="2"/>
        <v>48200</v>
      </c>
    </row>
    <row r="151" spans="1:6" x14ac:dyDescent="0.3">
      <c r="A151" s="3" t="s">
        <v>151</v>
      </c>
      <c r="B151" s="3" t="s">
        <v>196</v>
      </c>
      <c r="C151" s="5">
        <v>65000</v>
      </c>
      <c r="D151" s="5">
        <v>1500</v>
      </c>
      <c r="E151" s="5">
        <v>0</v>
      </c>
      <c r="F151" s="12">
        <f t="shared" si="2"/>
        <v>66500</v>
      </c>
    </row>
    <row r="152" spans="1:6" x14ac:dyDescent="0.3">
      <c r="A152" s="3" t="s">
        <v>155</v>
      </c>
      <c r="B152" s="3" t="s">
        <v>196</v>
      </c>
      <c r="C152" s="5">
        <v>52000</v>
      </c>
      <c r="D152" s="5">
        <v>1500</v>
      </c>
      <c r="E152" s="5">
        <v>500</v>
      </c>
      <c r="F152" s="12">
        <f t="shared" si="2"/>
        <v>53000</v>
      </c>
    </row>
    <row r="153" spans="1:6" x14ac:dyDescent="0.3">
      <c r="A153" s="3" t="s">
        <v>159</v>
      </c>
      <c r="B153" s="3" t="s">
        <v>196</v>
      </c>
      <c r="C153" s="5">
        <v>52000</v>
      </c>
      <c r="D153" s="5">
        <v>1000</v>
      </c>
      <c r="E153" s="5">
        <v>200</v>
      </c>
      <c r="F153" s="12">
        <f t="shared" si="2"/>
        <v>52800</v>
      </c>
    </row>
    <row r="154" spans="1:6" x14ac:dyDescent="0.3">
      <c r="A154" s="3" t="s">
        <v>163</v>
      </c>
      <c r="B154" s="3" t="s">
        <v>196</v>
      </c>
      <c r="C154" s="5">
        <v>65000</v>
      </c>
      <c r="D154" s="5">
        <v>0</v>
      </c>
      <c r="E154" s="5">
        <v>0</v>
      </c>
      <c r="F154" s="12">
        <f t="shared" si="2"/>
        <v>65000</v>
      </c>
    </row>
    <row r="155" spans="1:6" x14ac:dyDescent="0.3">
      <c r="A155" s="3" t="s">
        <v>39</v>
      </c>
      <c r="B155" s="3" t="s">
        <v>197</v>
      </c>
      <c r="C155" s="5">
        <v>48000</v>
      </c>
      <c r="D155" s="5">
        <v>1500</v>
      </c>
      <c r="E155" s="5">
        <v>0</v>
      </c>
      <c r="F155" s="12">
        <f t="shared" si="2"/>
        <v>49500</v>
      </c>
    </row>
    <row r="156" spans="1:6" x14ac:dyDescent="0.3">
      <c r="A156" s="3" t="s">
        <v>44</v>
      </c>
      <c r="B156" s="3" t="s">
        <v>197</v>
      </c>
      <c r="C156" s="5">
        <v>60000</v>
      </c>
      <c r="D156" s="5">
        <v>1500</v>
      </c>
      <c r="E156" s="5">
        <v>300</v>
      </c>
      <c r="F156" s="12">
        <f t="shared" si="2"/>
        <v>61200</v>
      </c>
    </row>
    <row r="157" spans="1:6" x14ac:dyDescent="0.3">
      <c r="A157" s="3" t="s">
        <v>54</v>
      </c>
      <c r="B157" s="3" t="s">
        <v>197</v>
      </c>
      <c r="C157" s="5">
        <v>60000</v>
      </c>
      <c r="D157" s="5">
        <v>0</v>
      </c>
      <c r="E157" s="5">
        <v>200</v>
      </c>
      <c r="F157" s="12">
        <f t="shared" si="2"/>
        <v>59800</v>
      </c>
    </row>
    <row r="158" spans="1:6" x14ac:dyDescent="0.3">
      <c r="A158" s="3" t="s">
        <v>59</v>
      </c>
      <c r="B158" s="3" t="s">
        <v>197</v>
      </c>
      <c r="C158" s="5">
        <v>35000</v>
      </c>
      <c r="D158" s="5">
        <v>0</v>
      </c>
      <c r="E158" s="5">
        <v>500</v>
      </c>
      <c r="F158" s="12">
        <f t="shared" si="2"/>
        <v>34500</v>
      </c>
    </row>
    <row r="159" spans="1:6" x14ac:dyDescent="0.3">
      <c r="A159" s="3" t="s">
        <v>64</v>
      </c>
      <c r="B159" s="3" t="s">
        <v>197</v>
      </c>
      <c r="C159" s="5">
        <v>65000</v>
      </c>
      <c r="D159" s="5">
        <v>0</v>
      </c>
      <c r="E159" s="5">
        <v>500</v>
      </c>
      <c r="F159" s="12">
        <f t="shared" si="2"/>
        <v>64500</v>
      </c>
    </row>
    <row r="160" spans="1:6" x14ac:dyDescent="0.3">
      <c r="A160" s="3" t="s">
        <v>69</v>
      </c>
      <c r="B160" s="3" t="s">
        <v>197</v>
      </c>
      <c r="C160" s="5">
        <v>65000</v>
      </c>
      <c r="D160" s="5">
        <v>1000</v>
      </c>
      <c r="E160" s="5">
        <v>300</v>
      </c>
      <c r="F160" s="12">
        <f t="shared" si="2"/>
        <v>65700</v>
      </c>
    </row>
    <row r="161" spans="1:6" x14ac:dyDescent="0.3">
      <c r="A161" s="3" t="s">
        <v>74</v>
      </c>
      <c r="B161" s="3" t="s">
        <v>197</v>
      </c>
      <c r="C161" s="5">
        <v>35000</v>
      </c>
      <c r="D161" s="5">
        <v>1500</v>
      </c>
      <c r="E161" s="5">
        <v>300</v>
      </c>
      <c r="F161" s="12">
        <f t="shared" si="2"/>
        <v>36200</v>
      </c>
    </row>
    <row r="162" spans="1:6" x14ac:dyDescent="0.3">
      <c r="A162" s="3" t="s">
        <v>79</v>
      </c>
      <c r="B162" s="3" t="s">
        <v>197</v>
      </c>
      <c r="C162" s="5">
        <v>35000</v>
      </c>
      <c r="D162" s="5">
        <v>2000</v>
      </c>
      <c r="E162" s="5">
        <v>200</v>
      </c>
      <c r="F162" s="12">
        <f t="shared" si="2"/>
        <v>36800</v>
      </c>
    </row>
    <row r="163" spans="1:6" x14ac:dyDescent="0.3">
      <c r="A163" s="3" t="s">
        <v>83</v>
      </c>
      <c r="B163" s="3" t="s">
        <v>197</v>
      </c>
      <c r="C163" s="5">
        <v>56000</v>
      </c>
      <c r="D163" s="5">
        <v>0</v>
      </c>
      <c r="E163" s="5">
        <v>0</v>
      </c>
      <c r="F163" s="12">
        <f t="shared" si="2"/>
        <v>56000</v>
      </c>
    </row>
    <row r="164" spans="1:6" x14ac:dyDescent="0.3">
      <c r="A164" s="3" t="s">
        <v>87</v>
      </c>
      <c r="B164" s="3" t="s">
        <v>197</v>
      </c>
      <c r="C164" s="5">
        <v>45000</v>
      </c>
      <c r="D164" s="5">
        <v>0</v>
      </c>
      <c r="E164" s="5">
        <v>0</v>
      </c>
      <c r="F164" s="12">
        <f t="shared" si="2"/>
        <v>45000</v>
      </c>
    </row>
    <row r="165" spans="1:6" x14ac:dyDescent="0.3">
      <c r="A165" s="3" t="s">
        <v>91</v>
      </c>
      <c r="B165" s="3" t="s">
        <v>197</v>
      </c>
      <c r="C165" s="5">
        <v>65000</v>
      </c>
      <c r="D165" s="5">
        <v>1500</v>
      </c>
      <c r="E165" s="5">
        <v>500</v>
      </c>
      <c r="F165" s="12">
        <f t="shared" si="2"/>
        <v>66000</v>
      </c>
    </row>
    <row r="166" spans="1:6" x14ac:dyDescent="0.3">
      <c r="A166" s="3" t="s">
        <v>95</v>
      </c>
      <c r="B166" s="3" t="s">
        <v>197</v>
      </c>
      <c r="C166" s="5">
        <v>52000</v>
      </c>
      <c r="D166" s="5">
        <v>1500</v>
      </c>
      <c r="E166" s="5">
        <v>0</v>
      </c>
      <c r="F166" s="12">
        <f t="shared" si="2"/>
        <v>53500</v>
      </c>
    </row>
    <row r="167" spans="1:6" x14ac:dyDescent="0.3">
      <c r="A167" s="3" t="s">
        <v>99</v>
      </c>
      <c r="B167" s="3" t="s">
        <v>197</v>
      </c>
      <c r="C167" s="5">
        <v>60000</v>
      </c>
      <c r="D167" s="5">
        <v>1500</v>
      </c>
      <c r="E167" s="5">
        <v>0</v>
      </c>
      <c r="F167" s="12">
        <f t="shared" si="2"/>
        <v>61500</v>
      </c>
    </row>
    <row r="168" spans="1:6" x14ac:dyDescent="0.3">
      <c r="A168" s="3" t="s">
        <v>103</v>
      </c>
      <c r="B168" s="3" t="s">
        <v>197</v>
      </c>
      <c r="C168" s="5">
        <v>32000</v>
      </c>
      <c r="D168" s="5">
        <v>0</v>
      </c>
      <c r="E168" s="5">
        <v>200</v>
      </c>
      <c r="F168" s="12">
        <f t="shared" si="2"/>
        <v>31800</v>
      </c>
    </row>
    <row r="169" spans="1:6" x14ac:dyDescent="0.3">
      <c r="A169" s="3" t="s">
        <v>107</v>
      </c>
      <c r="B169" s="3" t="s">
        <v>197</v>
      </c>
      <c r="C169" s="5">
        <v>65000</v>
      </c>
      <c r="D169" s="5">
        <v>1000</v>
      </c>
      <c r="E169" s="5">
        <v>0</v>
      </c>
      <c r="F169" s="12">
        <f t="shared" si="2"/>
        <v>66000</v>
      </c>
    </row>
    <row r="170" spans="1:6" x14ac:dyDescent="0.3">
      <c r="A170" s="3" t="s">
        <v>115</v>
      </c>
      <c r="B170" s="3" t="s">
        <v>197</v>
      </c>
      <c r="C170" s="5">
        <v>35000</v>
      </c>
      <c r="D170" s="5">
        <v>2000</v>
      </c>
      <c r="E170" s="5">
        <v>200</v>
      </c>
      <c r="F170" s="12">
        <f t="shared" si="2"/>
        <v>36800</v>
      </c>
    </row>
    <row r="171" spans="1:6" x14ac:dyDescent="0.3">
      <c r="A171" s="3" t="s">
        <v>119</v>
      </c>
      <c r="B171" s="3" t="s">
        <v>197</v>
      </c>
      <c r="C171" s="5">
        <v>35000</v>
      </c>
      <c r="D171" s="5">
        <v>1500</v>
      </c>
      <c r="E171" s="5">
        <v>500</v>
      </c>
      <c r="F171" s="12">
        <f t="shared" si="2"/>
        <v>36000</v>
      </c>
    </row>
    <row r="172" spans="1:6" x14ac:dyDescent="0.3">
      <c r="A172" s="3" t="s">
        <v>123</v>
      </c>
      <c r="B172" s="3" t="s">
        <v>197</v>
      </c>
      <c r="C172" s="5">
        <v>35000</v>
      </c>
      <c r="D172" s="5">
        <v>500</v>
      </c>
      <c r="E172" s="5">
        <v>500</v>
      </c>
      <c r="F172" s="12">
        <f t="shared" si="2"/>
        <v>35000</v>
      </c>
    </row>
    <row r="173" spans="1:6" x14ac:dyDescent="0.3">
      <c r="A173" s="3" t="s">
        <v>127</v>
      </c>
      <c r="B173" s="3" t="s">
        <v>197</v>
      </c>
      <c r="C173" s="5">
        <v>56000</v>
      </c>
      <c r="D173" s="5">
        <v>1000</v>
      </c>
      <c r="E173" s="5">
        <v>0</v>
      </c>
      <c r="F173" s="12">
        <f t="shared" si="2"/>
        <v>57000</v>
      </c>
    </row>
    <row r="174" spans="1:6" x14ac:dyDescent="0.3">
      <c r="A174" s="3" t="s">
        <v>131</v>
      </c>
      <c r="B174" s="3" t="s">
        <v>197</v>
      </c>
      <c r="C174" s="5">
        <v>32000</v>
      </c>
      <c r="D174" s="5">
        <v>2000</v>
      </c>
      <c r="E174" s="5">
        <v>500</v>
      </c>
      <c r="F174" s="12">
        <f t="shared" si="2"/>
        <v>33500</v>
      </c>
    </row>
    <row r="175" spans="1:6" x14ac:dyDescent="0.3">
      <c r="A175" s="3" t="s">
        <v>135</v>
      </c>
      <c r="B175" s="3" t="s">
        <v>197</v>
      </c>
      <c r="C175" s="5">
        <v>48000</v>
      </c>
      <c r="D175" s="5">
        <v>0</v>
      </c>
      <c r="E175" s="5">
        <v>300</v>
      </c>
      <c r="F175" s="12">
        <f t="shared" si="2"/>
        <v>47700</v>
      </c>
    </row>
    <row r="176" spans="1:6" x14ac:dyDescent="0.3">
      <c r="A176" s="3" t="s">
        <v>139</v>
      </c>
      <c r="B176" s="3" t="s">
        <v>197</v>
      </c>
      <c r="C176" s="5">
        <v>42000</v>
      </c>
      <c r="D176" s="5">
        <v>500</v>
      </c>
      <c r="E176" s="5">
        <v>0</v>
      </c>
      <c r="F176" s="12">
        <f t="shared" si="2"/>
        <v>42500</v>
      </c>
    </row>
    <row r="177" spans="1:6" x14ac:dyDescent="0.3">
      <c r="A177" s="3" t="s">
        <v>143</v>
      </c>
      <c r="B177" s="3" t="s">
        <v>197</v>
      </c>
      <c r="C177" s="5">
        <v>32000</v>
      </c>
      <c r="D177" s="5">
        <v>0</v>
      </c>
      <c r="E177" s="5">
        <v>300</v>
      </c>
      <c r="F177" s="12">
        <f t="shared" si="2"/>
        <v>31700</v>
      </c>
    </row>
    <row r="178" spans="1:6" x14ac:dyDescent="0.3">
      <c r="A178" s="3" t="s">
        <v>147</v>
      </c>
      <c r="B178" s="3" t="s">
        <v>197</v>
      </c>
      <c r="C178" s="5">
        <v>48000</v>
      </c>
      <c r="D178" s="5">
        <v>2000</v>
      </c>
      <c r="E178" s="5">
        <v>500</v>
      </c>
      <c r="F178" s="12">
        <f t="shared" si="2"/>
        <v>49500</v>
      </c>
    </row>
    <row r="179" spans="1:6" x14ac:dyDescent="0.3">
      <c r="A179" s="3" t="s">
        <v>151</v>
      </c>
      <c r="B179" s="3" t="s">
        <v>197</v>
      </c>
      <c r="C179" s="5">
        <v>65000</v>
      </c>
      <c r="D179" s="5">
        <v>1000</v>
      </c>
      <c r="E179" s="5">
        <v>0</v>
      </c>
      <c r="F179" s="12">
        <f t="shared" si="2"/>
        <v>66000</v>
      </c>
    </row>
    <row r="180" spans="1:6" x14ac:dyDescent="0.3">
      <c r="A180" s="3" t="s">
        <v>155</v>
      </c>
      <c r="B180" s="3" t="s">
        <v>197</v>
      </c>
      <c r="C180" s="5">
        <v>52000</v>
      </c>
      <c r="D180" s="5">
        <v>500</v>
      </c>
      <c r="E180" s="5">
        <v>300</v>
      </c>
      <c r="F180" s="12">
        <f t="shared" si="2"/>
        <v>52200</v>
      </c>
    </row>
    <row r="181" spans="1:6" x14ac:dyDescent="0.3">
      <c r="A181" s="3" t="s">
        <v>159</v>
      </c>
      <c r="B181" s="3" t="s">
        <v>197</v>
      </c>
      <c r="C181" s="5">
        <v>52000</v>
      </c>
      <c r="D181" s="5">
        <v>1000</v>
      </c>
      <c r="E181" s="5">
        <v>200</v>
      </c>
      <c r="F181" s="12">
        <f t="shared" si="2"/>
        <v>52800</v>
      </c>
    </row>
    <row r="182" spans="1:6" x14ac:dyDescent="0.3">
      <c r="A182" s="3" t="s">
        <v>163</v>
      </c>
      <c r="B182" s="3" t="s">
        <v>197</v>
      </c>
      <c r="C182" s="5">
        <v>65000</v>
      </c>
      <c r="D182" s="5">
        <v>2000</v>
      </c>
      <c r="E182" s="5">
        <v>0</v>
      </c>
      <c r="F182" s="12">
        <f t="shared" si="2"/>
        <v>67000</v>
      </c>
    </row>
    <row r="183" spans="1:6" x14ac:dyDescent="0.3">
      <c r="A183" s="3" t="s">
        <v>39</v>
      </c>
      <c r="B183" s="3" t="s">
        <v>198</v>
      </c>
      <c r="C183" s="5">
        <v>48000</v>
      </c>
      <c r="D183" s="5">
        <v>2000</v>
      </c>
      <c r="E183" s="5">
        <v>0</v>
      </c>
      <c r="F183" s="12">
        <f t="shared" si="2"/>
        <v>50000</v>
      </c>
    </row>
    <row r="184" spans="1:6" x14ac:dyDescent="0.3">
      <c r="A184" s="3" t="s">
        <v>44</v>
      </c>
      <c r="B184" s="3" t="s">
        <v>198</v>
      </c>
      <c r="C184" s="5">
        <v>60000</v>
      </c>
      <c r="D184" s="5">
        <v>0</v>
      </c>
      <c r="E184" s="5">
        <v>300</v>
      </c>
      <c r="F184" s="12">
        <f t="shared" si="2"/>
        <v>59700</v>
      </c>
    </row>
    <row r="185" spans="1:6" x14ac:dyDescent="0.3">
      <c r="A185" s="3" t="s">
        <v>54</v>
      </c>
      <c r="B185" s="3" t="s">
        <v>198</v>
      </c>
      <c r="C185" s="5">
        <v>60000</v>
      </c>
      <c r="D185" s="5">
        <v>1500</v>
      </c>
      <c r="E185" s="5">
        <v>0</v>
      </c>
      <c r="F185" s="12">
        <f t="shared" si="2"/>
        <v>61500</v>
      </c>
    </row>
    <row r="186" spans="1:6" x14ac:dyDescent="0.3">
      <c r="A186" s="3" t="s">
        <v>59</v>
      </c>
      <c r="B186" s="3" t="s">
        <v>198</v>
      </c>
      <c r="C186" s="5">
        <v>35000</v>
      </c>
      <c r="D186" s="5">
        <v>0</v>
      </c>
      <c r="E186" s="5">
        <v>300</v>
      </c>
      <c r="F186" s="12">
        <f t="shared" si="2"/>
        <v>34700</v>
      </c>
    </row>
    <row r="187" spans="1:6" x14ac:dyDescent="0.3">
      <c r="A187" s="3" t="s">
        <v>64</v>
      </c>
      <c r="B187" s="3" t="s">
        <v>198</v>
      </c>
      <c r="C187" s="5">
        <v>65000</v>
      </c>
      <c r="D187" s="5">
        <v>1500</v>
      </c>
      <c r="E187" s="5">
        <v>0</v>
      </c>
      <c r="F187" s="12">
        <f t="shared" si="2"/>
        <v>66500</v>
      </c>
    </row>
    <row r="188" spans="1:6" x14ac:dyDescent="0.3">
      <c r="A188" s="3" t="s">
        <v>69</v>
      </c>
      <c r="B188" s="3" t="s">
        <v>198</v>
      </c>
      <c r="C188" s="5">
        <v>65000</v>
      </c>
      <c r="D188" s="5">
        <v>0</v>
      </c>
      <c r="E188" s="5">
        <v>0</v>
      </c>
      <c r="F188" s="12">
        <f t="shared" si="2"/>
        <v>65000</v>
      </c>
    </row>
    <row r="189" spans="1:6" x14ac:dyDescent="0.3">
      <c r="A189" s="3" t="s">
        <v>74</v>
      </c>
      <c r="B189" s="3" t="s">
        <v>198</v>
      </c>
      <c r="C189" s="5">
        <v>35000</v>
      </c>
      <c r="D189" s="5">
        <v>1000</v>
      </c>
      <c r="E189" s="5">
        <v>500</v>
      </c>
      <c r="F189" s="12">
        <f t="shared" si="2"/>
        <v>35500</v>
      </c>
    </row>
    <row r="190" spans="1:6" x14ac:dyDescent="0.3">
      <c r="A190" s="3" t="s">
        <v>79</v>
      </c>
      <c r="B190" s="3" t="s">
        <v>198</v>
      </c>
      <c r="C190" s="5">
        <v>35000</v>
      </c>
      <c r="D190" s="5">
        <v>0</v>
      </c>
      <c r="E190" s="5">
        <v>0</v>
      </c>
      <c r="F190" s="12">
        <f t="shared" si="2"/>
        <v>35000</v>
      </c>
    </row>
    <row r="191" spans="1:6" x14ac:dyDescent="0.3">
      <c r="A191" s="3" t="s">
        <v>83</v>
      </c>
      <c r="B191" s="3" t="s">
        <v>198</v>
      </c>
      <c r="C191" s="5">
        <v>56000</v>
      </c>
      <c r="D191" s="5">
        <v>1000</v>
      </c>
      <c r="E191" s="5">
        <v>500</v>
      </c>
      <c r="F191" s="12">
        <f t="shared" si="2"/>
        <v>56500</v>
      </c>
    </row>
    <row r="192" spans="1:6" x14ac:dyDescent="0.3">
      <c r="A192" s="3" t="s">
        <v>87</v>
      </c>
      <c r="B192" s="3" t="s">
        <v>198</v>
      </c>
      <c r="C192" s="5">
        <v>45000</v>
      </c>
      <c r="D192" s="5">
        <v>500</v>
      </c>
      <c r="E192" s="5">
        <v>300</v>
      </c>
      <c r="F192" s="12">
        <f t="shared" si="2"/>
        <v>45200</v>
      </c>
    </row>
    <row r="193" spans="1:6" x14ac:dyDescent="0.3">
      <c r="A193" s="3" t="s">
        <v>91</v>
      </c>
      <c r="B193" s="3" t="s">
        <v>198</v>
      </c>
      <c r="C193" s="5">
        <v>65000</v>
      </c>
      <c r="D193" s="5">
        <v>1000</v>
      </c>
      <c r="E193" s="5">
        <v>0</v>
      </c>
      <c r="F193" s="12">
        <f t="shared" si="2"/>
        <v>66000</v>
      </c>
    </row>
    <row r="194" spans="1:6" x14ac:dyDescent="0.3">
      <c r="A194" s="3" t="s">
        <v>95</v>
      </c>
      <c r="B194" s="3" t="s">
        <v>198</v>
      </c>
      <c r="C194" s="5">
        <v>52000</v>
      </c>
      <c r="D194" s="5">
        <v>0</v>
      </c>
      <c r="E194" s="5">
        <v>500</v>
      </c>
      <c r="F194" s="12">
        <f t="shared" ref="F194:F257" si="3">C194+D194-E194</f>
        <v>51500</v>
      </c>
    </row>
    <row r="195" spans="1:6" x14ac:dyDescent="0.3">
      <c r="A195" s="3" t="s">
        <v>99</v>
      </c>
      <c r="B195" s="3" t="s">
        <v>198</v>
      </c>
      <c r="C195" s="5">
        <v>60000</v>
      </c>
      <c r="D195" s="5">
        <v>0</v>
      </c>
      <c r="E195" s="5">
        <v>200</v>
      </c>
      <c r="F195" s="12">
        <f t="shared" si="3"/>
        <v>59800</v>
      </c>
    </row>
    <row r="196" spans="1:6" x14ac:dyDescent="0.3">
      <c r="A196" s="3" t="s">
        <v>103</v>
      </c>
      <c r="B196" s="3" t="s">
        <v>198</v>
      </c>
      <c r="C196" s="5">
        <v>32000</v>
      </c>
      <c r="D196" s="5">
        <v>500</v>
      </c>
      <c r="E196" s="5">
        <v>0</v>
      </c>
      <c r="F196" s="12">
        <f t="shared" si="3"/>
        <v>32500</v>
      </c>
    </row>
    <row r="197" spans="1:6" x14ac:dyDescent="0.3">
      <c r="A197" s="3" t="s">
        <v>107</v>
      </c>
      <c r="B197" s="3" t="s">
        <v>198</v>
      </c>
      <c r="C197" s="5">
        <v>65000</v>
      </c>
      <c r="D197" s="5">
        <v>1500</v>
      </c>
      <c r="E197" s="5">
        <v>0</v>
      </c>
      <c r="F197" s="12">
        <f t="shared" si="3"/>
        <v>66500</v>
      </c>
    </row>
    <row r="198" spans="1:6" x14ac:dyDescent="0.3">
      <c r="A198" s="3" t="s">
        <v>115</v>
      </c>
      <c r="B198" s="3" t="s">
        <v>198</v>
      </c>
      <c r="C198" s="5">
        <v>35000</v>
      </c>
      <c r="D198" s="5">
        <v>1000</v>
      </c>
      <c r="E198" s="5">
        <v>300</v>
      </c>
      <c r="F198" s="12">
        <f t="shared" si="3"/>
        <v>35700</v>
      </c>
    </row>
    <row r="199" spans="1:6" x14ac:dyDescent="0.3">
      <c r="A199" s="3" t="s">
        <v>119</v>
      </c>
      <c r="B199" s="3" t="s">
        <v>198</v>
      </c>
      <c r="C199" s="5">
        <v>35000</v>
      </c>
      <c r="D199" s="5">
        <v>0</v>
      </c>
      <c r="E199" s="5">
        <v>0</v>
      </c>
      <c r="F199" s="12">
        <f t="shared" si="3"/>
        <v>35000</v>
      </c>
    </row>
    <row r="200" spans="1:6" x14ac:dyDescent="0.3">
      <c r="A200" s="3" t="s">
        <v>123</v>
      </c>
      <c r="B200" s="3" t="s">
        <v>198</v>
      </c>
      <c r="C200" s="5">
        <v>35000</v>
      </c>
      <c r="D200" s="5">
        <v>500</v>
      </c>
      <c r="E200" s="5">
        <v>200</v>
      </c>
      <c r="F200" s="12">
        <f t="shared" si="3"/>
        <v>35300</v>
      </c>
    </row>
    <row r="201" spans="1:6" x14ac:dyDescent="0.3">
      <c r="A201" s="3" t="s">
        <v>127</v>
      </c>
      <c r="B201" s="3" t="s">
        <v>198</v>
      </c>
      <c r="C201" s="5">
        <v>56000</v>
      </c>
      <c r="D201" s="5">
        <v>500</v>
      </c>
      <c r="E201" s="5">
        <v>500</v>
      </c>
      <c r="F201" s="12">
        <f t="shared" si="3"/>
        <v>56000</v>
      </c>
    </row>
    <row r="202" spans="1:6" x14ac:dyDescent="0.3">
      <c r="A202" s="3" t="s">
        <v>131</v>
      </c>
      <c r="B202" s="3" t="s">
        <v>198</v>
      </c>
      <c r="C202" s="5">
        <v>32000</v>
      </c>
      <c r="D202" s="5">
        <v>0</v>
      </c>
      <c r="E202" s="5">
        <v>0</v>
      </c>
      <c r="F202" s="12">
        <f t="shared" si="3"/>
        <v>32000</v>
      </c>
    </row>
    <row r="203" spans="1:6" x14ac:dyDescent="0.3">
      <c r="A203" s="3" t="s">
        <v>135</v>
      </c>
      <c r="B203" s="3" t="s">
        <v>198</v>
      </c>
      <c r="C203" s="5">
        <v>48000</v>
      </c>
      <c r="D203" s="5">
        <v>0</v>
      </c>
      <c r="E203" s="5">
        <v>300</v>
      </c>
      <c r="F203" s="12">
        <f t="shared" si="3"/>
        <v>47700</v>
      </c>
    </row>
    <row r="204" spans="1:6" x14ac:dyDescent="0.3">
      <c r="A204" s="3" t="s">
        <v>139</v>
      </c>
      <c r="B204" s="3" t="s">
        <v>198</v>
      </c>
      <c r="C204" s="5">
        <v>42000</v>
      </c>
      <c r="D204" s="5">
        <v>1500</v>
      </c>
      <c r="E204" s="5">
        <v>0</v>
      </c>
      <c r="F204" s="12">
        <f t="shared" si="3"/>
        <v>43500</v>
      </c>
    </row>
    <row r="205" spans="1:6" x14ac:dyDescent="0.3">
      <c r="A205" s="3" t="s">
        <v>143</v>
      </c>
      <c r="B205" s="3" t="s">
        <v>198</v>
      </c>
      <c r="C205" s="5">
        <v>32000</v>
      </c>
      <c r="D205" s="5">
        <v>2000</v>
      </c>
      <c r="E205" s="5">
        <v>200</v>
      </c>
      <c r="F205" s="12">
        <f t="shared" si="3"/>
        <v>33800</v>
      </c>
    </row>
    <row r="206" spans="1:6" x14ac:dyDescent="0.3">
      <c r="A206" s="3" t="s">
        <v>147</v>
      </c>
      <c r="B206" s="3" t="s">
        <v>198</v>
      </c>
      <c r="C206" s="5">
        <v>48000</v>
      </c>
      <c r="D206" s="5">
        <v>1500</v>
      </c>
      <c r="E206" s="5">
        <v>500</v>
      </c>
      <c r="F206" s="12">
        <f t="shared" si="3"/>
        <v>49000</v>
      </c>
    </row>
    <row r="207" spans="1:6" x14ac:dyDescent="0.3">
      <c r="A207" s="3" t="s">
        <v>151</v>
      </c>
      <c r="B207" s="3" t="s">
        <v>198</v>
      </c>
      <c r="C207" s="5">
        <v>65000</v>
      </c>
      <c r="D207" s="5">
        <v>0</v>
      </c>
      <c r="E207" s="5">
        <v>300</v>
      </c>
      <c r="F207" s="12">
        <f t="shared" si="3"/>
        <v>64700</v>
      </c>
    </row>
    <row r="208" spans="1:6" x14ac:dyDescent="0.3">
      <c r="A208" s="3" t="s">
        <v>155</v>
      </c>
      <c r="B208" s="3" t="s">
        <v>198</v>
      </c>
      <c r="C208" s="5">
        <v>52000</v>
      </c>
      <c r="D208" s="5">
        <v>1000</v>
      </c>
      <c r="E208" s="5">
        <v>0</v>
      </c>
      <c r="F208" s="12">
        <f t="shared" si="3"/>
        <v>53000</v>
      </c>
    </row>
    <row r="209" spans="1:6" x14ac:dyDescent="0.3">
      <c r="A209" s="3" t="s">
        <v>159</v>
      </c>
      <c r="B209" s="3" t="s">
        <v>198</v>
      </c>
      <c r="C209" s="5">
        <v>52000</v>
      </c>
      <c r="D209" s="5">
        <v>1000</v>
      </c>
      <c r="E209" s="5">
        <v>300</v>
      </c>
      <c r="F209" s="12">
        <f t="shared" si="3"/>
        <v>52700</v>
      </c>
    </row>
    <row r="210" spans="1:6" x14ac:dyDescent="0.3">
      <c r="A210" s="3" t="s">
        <v>163</v>
      </c>
      <c r="B210" s="3" t="s">
        <v>198</v>
      </c>
      <c r="C210" s="5">
        <v>65000</v>
      </c>
      <c r="D210" s="5">
        <v>0</v>
      </c>
      <c r="E210" s="5">
        <v>0</v>
      </c>
      <c r="F210" s="12">
        <f t="shared" si="3"/>
        <v>65000</v>
      </c>
    </row>
    <row r="211" spans="1:6" x14ac:dyDescent="0.3">
      <c r="A211" s="3" t="s">
        <v>39</v>
      </c>
      <c r="B211" s="3" t="s">
        <v>199</v>
      </c>
      <c r="C211" s="5">
        <v>48000</v>
      </c>
      <c r="D211" s="5">
        <v>1000</v>
      </c>
      <c r="E211" s="5">
        <v>200</v>
      </c>
      <c r="F211" s="12">
        <f t="shared" si="3"/>
        <v>48800</v>
      </c>
    </row>
    <row r="212" spans="1:6" x14ac:dyDescent="0.3">
      <c r="A212" s="3" t="s">
        <v>44</v>
      </c>
      <c r="B212" s="3" t="s">
        <v>199</v>
      </c>
      <c r="C212" s="5">
        <v>60000</v>
      </c>
      <c r="D212" s="5">
        <v>0</v>
      </c>
      <c r="E212" s="5">
        <v>0</v>
      </c>
      <c r="F212" s="12">
        <f t="shared" si="3"/>
        <v>60000</v>
      </c>
    </row>
    <row r="213" spans="1:6" x14ac:dyDescent="0.3">
      <c r="A213" s="3" t="s">
        <v>54</v>
      </c>
      <c r="B213" s="3" t="s">
        <v>199</v>
      </c>
      <c r="C213" s="5">
        <v>60000</v>
      </c>
      <c r="D213" s="5">
        <v>1500</v>
      </c>
      <c r="E213" s="5">
        <v>0</v>
      </c>
      <c r="F213" s="12">
        <f t="shared" si="3"/>
        <v>61500</v>
      </c>
    </row>
    <row r="214" spans="1:6" x14ac:dyDescent="0.3">
      <c r="A214" s="3" t="s">
        <v>59</v>
      </c>
      <c r="B214" s="3" t="s">
        <v>199</v>
      </c>
      <c r="C214" s="5">
        <v>35000</v>
      </c>
      <c r="D214" s="5">
        <v>1000</v>
      </c>
      <c r="E214" s="5">
        <v>0</v>
      </c>
      <c r="F214" s="12">
        <f t="shared" si="3"/>
        <v>36000</v>
      </c>
    </row>
    <row r="215" spans="1:6" x14ac:dyDescent="0.3">
      <c r="A215" s="3" t="s">
        <v>64</v>
      </c>
      <c r="B215" s="3" t="s">
        <v>199</v>
      </c>
      <c r="C215" s="5">
        <v>65000</v>
      </c>
      <c r="D215" s="5">
        <v>1000</v>
      </c>
      <c r="E215" s="5">
        <v>0</v>
      </c>
      <c r="F215" s="12">
        <f t="shared" si="3"/>
        <v>66000</v>
      </c>
    </row>
    <row r="216" spans="1:6" x14ac:dyDescent="0.3">
      <c r="A216" s="3" t="s">
        <v>69</v>
      </c>
      <c r="B216" s="3" t="s">
        <v>199</v>
      </c>
      <c r="C216" s="5">
        <v>65000</v>
      </c>
      <c r="D216" s="5">
        <v>1500</v>
      </c>
      <c r="E216" s="5">
        <v>300</v>
      </c>
      <c r="F216" s="12">
        <f t="shared" si="3"/>
        <v>66200</v>
      </c>
    </row>
    <row r="217" spans="1:6" x14ac:dyDescent="0.3">
      <c r="A217" s="3" t="s">
        <v>74</v>
      </c>
      <c r="B217" s="3" t="s">
        <v>199</v>
      </c>
      <c r="C217" s="5">
        <v>35000</v>
      </c>
      <c r="D217" s="5">
        <v>500</v>
      </c>
      <c r="E217" s="5">
        <v>300</v>
      </c>
      <c r="F217" s="12">
        <f t="shared" si="3"/>
        <v>35200</v>
      </c>
    </row>
    <row r="218" spans="1:6" x14ac:dyDescent="0.3">
      <c r="A218" s="3" t="s">
        <v>79</v>
      </c>
      <c r="B218" s="3" t="s">
        <v>199</v>
      </c>
      <c r="C218" s="5">
        <v>35000</v>
      </c>
      <c r="D218" s="5">
        <v>1000</v>
      </c>
      <c r="E218" s="5">
        <v>300</v>
      </c>
      <c r="F218" s="12">
        <f t="shared" si="3"/>
        <v>35700</v>
      </c>
    </row>
    <row r="219" spans="1:6" x14ac:dyDescent="0.3">
      <c r="A219" s="3" t="s">
        <v>83</v>
      </c>
      <c r="B219" s="3" t="s">
        <v>199</v>
      </c>
      <c r="C219" s="5">
        <v>56000</v>
      </c>
      <c r="D219" s="5">
        <v>2000</v>
      </c>
      <c r="E219" s="5">
        <v>0</v>
      </c>
      <c r="F219" s="12">
        <f t="shared" si="3"/>
        <v>58000</v>
      </c>
    </row>
    <row r="220" spans="1:6" x14ac:dyDescent="0.3">
      <c r="A220" s="3" t="s">
        <v>87</v>
      </c>
      <c r="B220" s="3" t="s">
        <v>199</v>
      </c>
      <c r="C220" s="5">
        <v>45000</v>
      </c>
      <c r="D220" s="5">
        <v>1000</v>
      </c>
      <c r="E220" s="5">
        <v>0</v>
      </c>
      <c r="F220" s="12">
        <f t="shared" si="3"/>
        <v>46000</v>
      </c>
    </row>
    <row r="221" spans="1:6" x14ac:dyDescent="0.3">
      <c r="A221" s="3" t="s">
        <v>91</v>
      </c>
      <c r="B221" s="3" t="s">
        <v>199</v>
      </c>
      <c r="C221" s="5">
        <v>65000</v>
      </c>
      <c r="D221" s="5">
        <v>1500</v>
      </c>
      <c r="E221" s="5">
        <v>300</v>
      </c>
      <c r="F221" s="12">
        <f t="shared" si="3"/>
        <v>66200</v>
      </c>
    </row>
    <row r="222" spans="1:6" x14ac:dyDescent="0.3">
      <c r="A222" s="3" t="s">
        <v>95</v>
      </c>
      <c r="B222" s="3" t="s">
        <v>199</v>
      </c>
      <c r="C222" s="5">
        <v>52000</v>
      </c>
      <c r="D222" s="5">
        <v>1000</v>
      </c>
      <c r="E222" s="5">
        <v>0</v>
      </c>
      <c r="F222" s="12">
        <f t="shared" si="3"/>
        <v>53000</v>
      </c>
    </row>
    <row r="223" spans="1:6" x14ac:dyDescent="0.3">
      <c r="A223" s="3" t="s">
        <v>99</v>
      </c>
      <c r="B223" s="3" t="s">
        <v>199</v>
      </c>
      <c r="C223" s="5">
        <v>60000</v>
      </c>
      <c r="D223" s="5">
        <v>0</v>
      </c>
      <c r="E223" s="5">
        <v>200</v>
      </c>
      <c r="F223" s="12">
        <f t="shared" si="3"/>
        <v>59800</v>
      </c>
    </row>
    <row r="224" spans="1:6" x14ac:dyDescent="0.3">
      <c r="A224" s="3" t="s">
        <v>103</v>
      </c>
      <c r="B224" s="3" t="s">
        <v>199</v>
      </c>
      <c r="C224" s="5">
        <v>32000</v>
      </c>
      <c r="D224" s="5">
        <v>500</v>
      </c>
      <c r="E224" s="5">
        <v>200</v>
      </c>
      <c r="F224" s="12">
        <f t="shared" si="3"/>
        <v>32300</v>
      </c>
    </row>
    <row r="225" spans="1:6" x14ac:dyDescent="0.3">
      <c r="A225" s="3" t="s">
        <v>107</v>
      </c>
      <c r="B225" s="3" t="s">
        <v>199</v>
      </c>
      <c r="C225" s="5">
        <v>65000</v>
      </c>
      <c r="D225" s="5">
        <v>1500</v>
      </c>
      <c r="E225" s="5">
        <v>0</v>
      </c>
      <c r="F225" s="12">
        <f t="shared" si="3"/>
        <v>66500</v>
      </c>
    </row>
    <row r="226" spans="1:6" x14ac:dyDescent="0.3">
      <c r="A226" s="3" t="s">
        <v>115</v>
      </c>
      <c r="B226" s="3" t="s">
        <v>199</v>
      </c>
      <c r="C226" s="5">
        <v>35000</v>
      </c>
      <c r="D226" s="5">
        <v>1500</v>
      </c>
      <c r="E226" s="5">
        <v>0</v>
      </c>
      <c r="F226" s="12">
        <f t="shared" si="3"/>
        <v>36500</v>
      </c>
    </row>
    <row r="227" spans="1:6" x14ac:dyDescent="0.3">
      <c r="A227" s="3" t="s">
        <v>119</v>
      </c>
      <c r="B227" s="3" t="s">
        <v>199</v>
      </c>
      <c r="C227" s="5">
        <v>35000</v>
      </c>
      <c r="D227" s="5">
        <v>2000</v>
      </c>
      <c r="E227" s="5">
        <v>200</v>
      </c>
      <c r="F227" s="12">
        <f t="shared" si="3"/>
        <v>36800</v>
      </c>
    </row>
    <row r="228" spans="1:6" x14ac:dyDescent="0.3">
      <c r="A228" s="3" t="s">
        <v>123</v>
      </c>
      <c r="B228" s="3" t="s">
        <v>199</v>
      </c>
      <c r="C228" s="5">
        <v>35000</v>
      </c>
      <c r="D228" s="5">
        <v>1500</v>
      </c>
      <c r="E228" s="5">
        <v>300</v>
      </c>
      <c r="F228" s="12">
        <f t="shared" si="3"/>
        <v>36200</v>
      </c>
    </row>
    <row r="229" spans="1:6" x14ac:dyDescent="0.3">
      <c r="A229" s="3" t="s">
        <v>127</v>
      </c>
      <c r="B229" s="3" t="s">
        <v>199</v>
      </c>
      <c r="C229" s="5">
        <v>56000</v>
      </c>
      <c r="D229" s="5">
        <v>1500</v>
      </c>
      <c r="E229" s="5">
        <v>0</v>
      </c>
      <c r="F229" s="12">
        <f t="shared" si="3"/>
        <v>57500</v>
      </c>
    </row>
    <row r="230" spans="1:6" x14ac:dyDescent="0.3">
      <c r="A230" s="3" t="s">
        <v>131</v>
      </c>
      <c r="B230" s="3" t="s">
        <v>199</v>
      </c>
      <c r="C230" s="5">
        <v>32000</v>
      </c>
      <c r="D230" s="5">
        <v>500</v>
      </c>
      <c r="E230" s="5">
        <v>0</v>
      </c>
      <c r="F230" s="12">
        <f t="shared" si="3"/>
        <v>32500</v>
      </c>
    </row>
    <row r="231" spans="1:6" x14ac:dyDescent="0.3">
      <c r="A231" s="3" t="s">
        <v>135</v>
      </c>
      <c r="B231" s="3" t="s">
        <v>199</v>
      </c>
      <c r="C231" s="5">
        <v>48000</v>
      </c>
      <c r="D231" s="5">
        <v>500</v>
      </c>
      <c r="E231" s="5">
        <v>0</v>
      </c>
      <c r="F231" s="12">
        <f t="shared" si="3"/>
        <v>48500</v>
      </c>
    </row>
    <row r="232" spans="1:6" x14ac:dyDescent="0.3">
      <c r="A232" s="3" t="s">
        <v>139</v>
      </c>
      <c r="B232" s="3" t="s">
        <v>199</v>
      </c>
      <c r="C232" s="5">
        <v>42000</v>
      </c>
      <c r="D232" s="5">
        <v>0</v>
      </c>
      <c r="E232" s="5">
        <v>200</v>
      </c>
      <c r="F232" s="12">
        <f t="shared" si="3"/>
        <v>41800</v>
      </c>
    </row>
    <row r="233" spans="1:6" x14ac:dyDescent="0.3">
      <c r="A233" s="3" t="s">
        <v>143</v>
      </c>
      <c r="B233" s="3" t="s">
        <v>199</v>
      </c>
      <c r="C233" s="5">
        <v>32000</v>
      </c>
      <c r="D233" s="5">
        <v>0</v>
      </c>
      <c r="E233" s="5">
        <v>0</v>
      </c>
      <c r="F233" s="12">
        <f t="shared" si="3"/>
        <v>32000</v>
      </c>
    </row>
    <row r="234" spans="1:6" x14ac:dyDescent="0.3">
      <c r="A234" s="3" t="s">
        <v>147</v>
      </c>
      <c r="B234" s="3" t="s">
        <v>199</v>
      </c>
      <c r="C234" s="5">
        <v>48000</v>
      </c>
      <c r="D234" s="5">
        <v>2000</v>
      </c>
      <c r="E234" s="5">
        <v>0</v>
      </c>
      <c r="F234" s="12">
        <f t="shared" si="3"/>
        <v>50000</v>
      </c>
    </row>
    <row r="235" spans="1:6" x14ac:dyDescent="0.3">
      <c r="A235" s="3" t="s">
        <v>151</v>
      </c>
      <c r="B235" s="3" t="s">
        <v>199</v>
      </c>
      <c r="C235" s="5">
        <v>65000</v>
      </c>
      <c r="D235" s="5">
        <v>0</v>
      </c>
      <c r="E235" s="5">
        <v>200</v>
      </c>
      <c r="F235" s="12">
        <f t="shared" si="3"/>
        <v>64800</v>
      </c>
    </row>
    <row r="236" spans="1:6" x14ac:dyDescent="0.3">
      <c r="A236" s="3" t="s">
        <v>155</v>
      </c>
      <c r="B236" s="3" t="s">
        <v>199</v>
      </c>
      <c r="C236" s="5">
        <v>52000</v>
      </c>
      <c r="D236" s="5">
        <v>1000</v>
      </c>
      <c r="E236" s="5">
        <v>300</v>
      </c>
      <c r="F236" s="12">
        <f t="shared" si="3"/>
        <v>52700</v>
      </c>
    </row>
    <row r="237" spans="1:6" x14ac:dyDescent="0.3">
      <c r="A237" s="3" t="s">
        <v>159</v>
      </c>
      <c r="B237" s="3" t="s">
        <v>199</v>
      </c>
      <c r="C237" s="5">
        <v>52000</v>
      </c>
      <c r="D237" s="5">
        <v>0</v>
      </c>
      <c r="E237" s="5">
        <v>300</v>
      </c>
      <c r="F237" s="12">
        <f t="shared" si="3"/>
        <v>51700</v>
      </c>
    </row>
    <row r="238" spans="1:6" x14ac:dyDescent="0.3">
      <c r="A238" s="3" t="s">
        <v>163</v>
      </c>
      <c r="B238" s="3" t="s">
        <v>199</v>
      </c>
      <c r="C238" s="5">
        <v>65000</v>
      </c>
      <c r="D238" s="5">
        <v>500</v>
      </c>
      <c r="E238" s="5">
        <v>200</v>
      </c>
      <c r="F238" s="12">
        <f t="shared" si="3"/>
        <v>65300</v>
      </c>
    </row>
    <row r="239" spans="1:6" x14ac:dyDescent="0.3">
      <c r="A239" s="3" t="s">
        <v>39</v>
      </c>
      <c r="B239" s="3" t="s">
        <v>200</v>
      </c>
      <c r="C239" s="5">
        <v>48000</v>
      </c>
      <c r="D239" s="5">
        <v>1500</v>
      </c>
      <c r="E239" s="5">
        <v>0</v>
      </c>
      <c r="F239" s="12">
        <f t="shared" si="3"/>
        <v>49500</v>
      </c>
    </row>
    <row r="240" spans="1:6" x14ac:dyDescent="0.3">
      <c r="A240" s="3" t="s">
        <v>44</v>
      </c>
      <c r="B240" s="3" t="s">
        <v>200</v>
      </c>
      <c r="C240" s="5">
        <v>60000</v>
      </c>
      <c r="D240" s="5">
        <v>500</v>
      </c>
      <c r="E240" s="5">
        <v>300</v>
      </c>
      <c r="F240" s="12">
        <f t="shared" si="3"/>
        <v>60200</v>
      </c>
    </row>
    <row r="241" spans="1:6" x14ac:dyDescent="0.3">
      <c r="A241" s="3" t="s">
        <v>54</v>
      </c>
      <c r="B241" s="3" t="s">
        <v>200</v>
      </c>
      <c r="C241" s="5">
        <v>60000</v>
      </c>
      <c r="D241" s="5">
        <v>1500</v>
      </c>
      <c r="E241" s="5">
        <v>0</v>
      </c>
      <c r="F241" s="12">
        <f t="shared" si="3"/>
        <v>61500</v>
      </c>
    </row>
    <row r="242" spans="1:6" x14ac:dyDescent="0.3">
      <c r="A242" s="3" t="s">
        <v>59</v>
      </c>
      <c r="B242" s="3" t="s">
        <v>200</v>
      </c>
      <c r="C242" s="5">
        <v>35000</v>
      </c>
      <c r="D242" s="5">
        <v>1000</v>
      </c>
      <c r="E242" s="5">
        <v>0</v>
      </c>
      <c r="F242" s="12">
        <f t="shared" si="3"/>
        <v>36000</v>
      </c>
    </row>
    <row r="243" spans="1:6" x14ac:dyDescent="0.3">
      <c r="A243" s="3" t="s">
        <v>64</v>
      </c>
      <c r="B243" s="3" t="s">
        <v>200</v>
      </c>
      <c r="C243" s="5">
        <v>65000</v>
      </c>
      <c r="D243" s="5">
        <v>0</v>
      </c>
      <c r="E243" s="5">
        <v>0</v>
      </c>
      <c r="F243" s="12">
        <f t="shared" si="3"/>
        <v>65000</v>
      </c>
    </row>
    <row r="244" spans="1:6" x14ac:dyDescent="0.3">
      <c r="A244" s="3" t="s">
        <v>69</v>
      </c>
      <c r="B244" s="3" t="s">
        <v>200</v>
      </c>
      <c r="C244" s="5">
        <v>65000</v>
      </c>
      <c r="D244" s="5">
        <v>1500</v>
      </c>
      <c r="E244" s="5">
        <v>500</v>
      </c>
      <c r="F244" s="12">
        <f t="shared" si="3"/>
        <v>66000</v>
      </c>
    </row>
    <row r="245" spans="1:6" x14ac:dyDescent="0.3">
      <c r="A245" s="3" t="s">
        <v>74</v>
      </c>
      <c r="B245" s="3" t="s">
        <v>200</v>
      </c>
      <c r="C245" s="5">
        <v>35000</v>
      </c>
      <c r="D245" s="5">
        <v>0</v>
      </c>
      <c r="E245" s="5">
        <v>0</v>
      </c>
      <c r="F245" s="12">
        <f t="shared" si="3"/>
        <v>35000</v>
      </c>
    </row>
    <row r="246" spans="1:6" x14ac:dyDescent="0.3">
      <c r="A246" s="3" t="s">
        <v>79</v>
      </c>
      <c r="B246" s="3" t="s">
        <v>200</v>
      </c>
      <c r="C246" s="5">
        <v>35000</v>
      </c>
      <c r="D246" s="5">
        <v>0</v>
      </c>
      <c r="E246" s="5">
        <v>200</v>
      </c>
      <c r="F246" s="12">
        <f t="shared" si="3"/>
        <v>34800</v>
      </c>
    </row>
    <row r="247" spans="1:6" x14ac:dyDescent="0.3">
      <c r="A247" s="3" t="s">
        <v>83</v>
      </c>
      <c r="B247" s="3" t="s">
        <v>200</v>
      </c>
      <c r="C247" s="5">
        <v>56000</v>
      </c>
      <c r="D247" s="5">
        <v>1000</v>
      </c>
      <c r="E247" s="5">
        <v>300</v>
      </c>
      <c r="F247" s="12">
        <f t="shared" si="3"/>
        <v>56700</v>
      </c>
    </row>
    <row r="248" spans="1:6" x14ac:dyDescent="0.3">
      <c r="A248" s="3" t="s">
        <v>87</v>
      </c>
      <c r="B248" s="3" t="s">
        <v>200</v>
      </c>
      <c r="C248" s="5">
        <v>45000</v>
      </c>
      <c r="D248" s="5">
        <v>1000</v>
      </c>
      <c r="E248" s="5">
        <v>500</v>
      </c>
      <c r="F248" s="12">
        <f t="shared" si="3"/>
        <v>45500</v>
      </c>
    </row>
    <row r="249" spans="1:6" x14ac:dyDescent="0.3">
      <c r="A249" s="3" t="s">
        <v>91</v>
      </c>
      <c r="B249" s="3" t="s">
        <v>200</v>
      </c>
      <c r="C249" s="5">
        <v>65000</v>
      </c>
      <c r="D249" s="5">
        <v>2000</v>
      </c>
      <c r="E249" s="5">
        <v>0</v>
      </c>
      <c r="F249" s="12">
        <f t="shared" si="3"/>
        <v>67000</v>
      </c>
    </row>
    <row r="250" spans="1:6" x14ac:dyDescent="0.3">
      <c r="A250" s="3" t="s">
        <v>95</v>
      </c>
      <c r="B250" s="3" t="s">
        <v>200</v>
      </c>
      <c r="C250" s="5">
        <v>52000</v>
      </c>
      <c r="D250" s="5">
        <v>1500</v>
      </c>
      <c r="E250" s="5">
        <v>500</v>
      </c>
      <c r="F250" s="12">
        <f t="shared" si="3"/>
        <v>53000</v>
      </c>
    </row>
    <row r="251" spans="1:6" x14ac:dyDescent="0.3">
      <c r="A251" s="3" t="s">
        <v>99</v>
      </c>
      <c r="B251" s="3" t="s">
        <v>200</v>
      </c>
      <c r="C251" s="5">
        <v>60000</v>
      </c>
      <c r="D251" s="5">
        <v>500</v>
      </c>
      <c r="E251" s="5">
        <v>200</v>
      </c>
      <c r="F251" s="12">
        <f t="shared" si="3"/>
        <v>60300</v>
      </c>
    </row>
    <row r="252" spans="1:6" x14ac:dyDescent="0.3">
      <c r="A252" s="3" t="s">
        <v>103</v>
      </c>
      <c r="B252" s="3" t="s">
        <v>200</v>
      </c>
      <c r="C252" s="5">
        <v>32000</v>
      </c>
      <c r="D252" s="5">
        <v>2000</v>
      </c>
      <c r="E252" s="5">
        <v>300</v>
      </c>
      <c r="F252" s="12">
        <f t="shared" si="3"/>
        <v>33700</v>
      </c>
    </row>
    <row r="253" spans="1:6" x14ac:dyDescent="0.3">
      <c r="A253" s="3" t="s">
        <v>107</v>
      </c>
      <c r="B253" s="3" t="s">
        <v>200</v>
      </c>
      <c r="C253" s="5">
        <v>65000</v>
      </c>
      <c r="D253" s="5">
        <v>2000</v>
      </c>
      <c r="E253" s="5">
        <v>300</v>
      </c>
      <c r="F253" s="12">
        <f t="shared" si="3"/>
        <v>66700</v>
      </c>
    </row>
    <row r="254" spans="1:6" x14ac:dyDescent="0.3">
      <c r="A254" s="3" t="s">
        <v>115</v>
      </c>
      <c r="B254" s="3" t="s">
        <v>200</v>
      </c>
      <c r="C254" s="5">
        <v>35000</v>
      </c>
      <c r="D254" s="5">
        <v>0</v>
      </c>
      <c r="E254" s="5">
        <v>0</v>
      </c>
      <c r="F254" s="12">
        <f t="shared" si="3"/>
        <v>35000</v>
      </c>
    </row>
    <row r="255" spans="1:6" x14ac:dyDescent="0.3">
      <c r="A255" s="3" t="s">
        <v>119</v>
      </c>
      <c r="B255" s="3" t="s">
        <v>200</v>
      </c>
      <c r="C255" s="5">
        <v>35000</v>
      </c>
      <c r="D255" s="5">
        <v>500</v>
      </c>
      <c r="E255" s="5">
        <v>500</v>
      </c>
      <c r="F255" s="12">
        <f t="shared" si="3"/>
        <v>35000</v>
      </c>
    </row>
    <row r="256" spans="1:6" x14ac:dyDescent="0.3">
      <c r="A256" s="3" t="s">
        <v>123</v>
      </c>
      <c r="B256" s="3" t="s">
        <v>200</v>
      </c>
      <c r="C256" s="5">
        <v>35000</v>
      </c>
      <c r="D256" s="5">
        <v>2000</v>
      </c>
      <c r="E256" s="5">
        <v>300</v>
      </c>
      <c r="F256" s="12">
        <f t="shared" si="3"/>
        <v>36700</v>
      </c>
    </row>
    <row r="257" spans="1:6" x14ac:dyDescent="0.3">
      <c r="A257" s="3" t="s">
        <v>127</v>
      </c>
      <c r="B257" s="3" t="s">
        <v>200</v>
      </c>
      <c r="C257" s="5">
        <v>56000</v>
      </c>
      <c r="D257" s="5">
        <v>1000</v>
      </c>
      <c r="E257" s="5">
        <v>0</v>
      </c>
      <c r="F257" s="12">
        <f t="shared" si="3"/>
        <v>57000</v>
      </c>
    </row>
    <row r="258" spans="1:6" x14ac:dyDescent="0.3">
      <c r="A258" s="3" t="s">
        <v>131</v>
      </c>
      <c r="B258" s="3" t="s">
        <v>200</v>
      </c>
      <c r="C258" s="5">
        <v>32000</v>
      </c>
      <c r="D258" s="5">
        <v>1000</v>
      </c>
      <c r="E258" s="5">
        <v>500</v>
      </c>
      <c r="F258" s="12">
        <f t="shared" ref="F258:F321" si="4">C258+D258-E258</f>
        <v>32500</v>
      </c>
    </row>
    <row r="259" spans="1:6" x14ac:dyDescent="0.3">
      <c r="A259" s="3" t="s">
        <v>135</v>
      </c>
      <c r="B259" s="3" t="s">
        <v>200</v>
      </c>
      <c r="C259" s="5">
        <v>48000</v>
      </c>
      <c r="D259" s="5">
        <v>500</v>
      </c>
      <c r="E259" s="5">
        <v>0</v>
      </c>
      <c r="F259" s="12">
        <f t="shared" si="4"/>
        <v>48500</v>
      </c>
    </row>
    <row r="260" spans="1:6" x14ac:dyDescent="0.3">
      <c r="A260" s="3" t="s">
        <v>139</v>
      </c>
      <c r="B260" s="3" t="s">
        <v>200</v>
      </c>
      <c r="C260" s="5">
        <v>42000</v>
      </c>
      <c r="D260" s="5">
        <v>0</v>
      </c>
      <c r="E260" s="5">
        <v>200</v>
      </c>
      <c r="F260" s="12">
        <f t="shared" si="4"/>
        <v>41800</v>
      </c>
    </row>
    <row r="261" spans="1:6" x14ac:dyDescent="0.3">
      <c r="A261" s="3" t="s">
        <v>143</v>
      </c>
      <c r="B261" s="3" t="s">
        <v>200</v>
      </c>
      <c r="C261" s="5">
        <v>32000</v>
      </c>
      <c r="D261" s="5">
        <v>500</v>
      </c>
      <c r="E261" s="5">
        <v>200</v>
      </c>
      <c r="F261" s="12">
        <f t="shared" si="4"/>
        <v>32300</v>
      </c>
    </row>
    <row r="262" spans="1:6" x14ac:dyDescent="0.3">
      <c r="A262" s="3" t="s">
        <v>147</v>
      </c>
      <c r="B262" s="3" t="s">
        <v>200</v>
      </c>
      <c r="C262" s="5">
        <v>48000</v>
      </c>
      <c r="D262" s="5">
        <v>1500</v>
      </c>
      <c r="E262" s="5">
        <v>0</v>
      </c>
      <c r="F262" s="12">
        <f t="shared" si="4"/>
        <v>49500</v>
      </c>
    </row>
    <row r="263" spans="1:6" x14ac:dyDescent="0.3">
      <c r="A263" s="3" t="s">
        <v>151</v>
      </c>
      <c r="B263" s="3" t="s">
        <v>200</v>
      </c>
      <c r="C263" s="5">
        <v>65000</v>
      </c>
      <c r="D263" s="5">
        <v>0</v>
      </c>
      <c r="E263" s="5">
        <v>0</v>
      </c>
      <c r="F263" s="12">
        <f t="shared" si="4"/>
        <v>65000</v>
      </c>
    </row>
    <row r="264" spans="1:6" x14ac:dyDescent="0.3">
      <c r="A264" s="3" t="s">
        <v>155</v>
      </c>
      <c r="B264" s="3" t="s">
        <v>200</v>
      </c>
      <c r="C264" s="5">
        <v>52000</v>
      </c>
      <c r="D264" s="5">
        <v>0</v>
      </c>
      <c r="E264" s="5">
        <v>300</v>
      </c>
      <c r="F264" s="12">
        <f t="shared" si="4"/>
        <v>51700</v>
      </c>
    </row>
    <row r="265" spans="1:6" x14ac:dyDescent="0.3">
      <c r="A265" s="3" t="s">
        <v>159</v>
      </c>
      <c r="B265" s="3" t="s">
        <v>200</v>
      </c>
      <c r="C265" s="5">
        <v>52000</v>
      </c>
      <c r="D265" s="5">
        <v>1500</v>
      </c>
      <c r="E265" s="5">
        <v>0</v>
      </c>
      <c r="F265" s="12">
        <f t="shared" si="4"/>
        <v>53500</v>
      </c>
    </row>
    <row r="266" spans="1:6" x14ac:dyDescent="0.3">
      <c r="A266" s="3" t="s">
        <v>163</v>
      </c>
      <c r="B266" s="3" t="s">
        <v>200</v>
      </c>
      <c r="C266" s="5">
        <v>65000</v>
      </c>
      <c r="D266" s="5">
        <v>2000</v>
      </c>
      <c r="E266" s="5">
        <v>200</v>
      </c>
      <c r="F266" s="12">
        <f t="shared" si="4"/>
        <v>66800</v>
      </c>
    </row>
    <row r="267" spans="1:6" x14ac:dyDescent="0.3">
      <c r="A267" s="3" t="s">
        <v>39</v>
      </c>
      <c r="B267" s="3" t="s">
        <v>201</v>
      </c>
      <c r="C267" s="5">
        <v>48000</v>
      </c>
      <c r="D267" s="5">
        <v>2000</v>
      </c>
      <c r="E267" s="5">
        <v>0</v>
      </c>
      <c r="F267" s="12">
        <f t="shared" si="4"/>
        <v>50000</v>
      </c>
    </row>
    <row r="268" spans="1:6" x14ac:dyDescent="0.3">
      <c r="A268" s="3" t="s">
        <v>44</v>
      </c>
      <c r="B268" s="3" t="s">
        <v>201</v>
      </c>
      <c r="C268" s="5">
        <v>60000</v>
      </c>
      <c r="D268" s="5">
        <v>0</v>
      </c>
      <c r="E268" s="5">
        <v>500</v>
      </c>
      <c r="F268" s="12">
        <f t="shared" si="4"/>
        <v>59500</v>
      </c>
    </row>
    <row r="269" spans="1:6" x14ac:dyDescent="0.3">
      <c r="A269" s="3" t="s">
        <v>49</v>
      </c>
      <c r="B269" s="3" t="s">
        <v>201</v>
      </c>
      <c r="C269" s="5">
        <v>65000</v>
      </c>
      <c r="D269" s="5">
        <v>2000</v>
      </c>
      <c r="E269" s="5">
        <v>200</v>
      </c>
      <c r="F269" s="12">
        <f t="shared" si="4"/>
        <v>66800</v>
      </c>
    </row>
    <row r="270" spans="1:6" x14ac:dyDescent="0.3">
      <c r="A270" s="3" t="s">
        <v>59</v>
      </c>
      <c r="B270" s="3" t="s">
        <v>201</v>
      </c>
      <c r="C270" s="5">
        <v>35000</v>
      </c>
      <c r="D270" s="5">
        <v>2000</v>
      </c>
      <c r="E270" s="5">
        <v>0</v>
      </c>
      <c r="F270" s="12">
        <f t="shared" si="4"/>
        <v>37000</v>
      </c>
    </row>
    <row r="271" spans="1:6" x14ac:dyDescent="0.3">
      <c r="A271" s="3" t="s">
        <v>64</v>
      </c>
      <c r="B271" s="3" t="s">
        <v>201</v>
      </c>
      <c r="C271" s="5">
        <v>65000</v>
      </c>
      <c r="D271" s="5">
        <v>500</v>
      </c>
      <c r="E271" s="5">
        <v>0</v>
      </c>
      <c r="F271" s="12">
        <f t="shared" si="4"/>
        <v>65500</v>
      </c>
    </row>
    <row r="272" spans="1:6" x14ac:dyDescent="0.3">
      <c r="A272" s="3" t="s">
        <v>69</v>
      </c>
      <c r="B272" s="3" t="s">
        <v>201</v>
      </c>
      <c r="C272" s="5">
        <v>65000</v>
      </c>
      <c r="D272" s="5">
        <v>2000</v>
      </c>
      <c r="E272" s="5">
        <v>200</v>
      </c>
      <c r="F272" s="12">
        <f t="shared" si="4"/>
        <v>66800</v>
      </c>
    </row>
    <row r="273" spans="1:6" x14ac:dyDescent="0.3">
      <c r="A273" s="3" t="s">
        <v>74</v>
      </c>
      <c r="B273" s="3" t="s">
        <v>201</v>
      </c>
      <c r="C273" s="5">
        <v>35000</v>
      </c>
      <c r="D273" s="5">
        <v>0</v>
      </c>
      <c r="E273" s="5">
        <v>300</v>
      </c>
      <c r="F273" s="12">
        <f t="shared" si="4"/>
        <v>34700</v>
      </c>
    </row>
    <row r="274" spans="1:6" x14ac:dyDescent="0.3">
      <c r="A274" s="3" t="s">
        <v>79</v>
      </c>
      <c r="B274" s="3" t="s">
        <v>201</v>
      </c>
      <c r="C274" s="5">
        <v>35000</v>
      </c>
      <c r="D274" s="5">
        <v>0</v>
      </c>
      <c r="E274" s="5">
        <v>300</v>
      </c>
      <c r="F274" s="12">
        <f t="shared" si="4"/>
        <v>34700</v>
      </c>
    </row>
    <row r="275" spans="1:6" x14ac:dyDescent="0.3">
      <c r="A275" s="3" t="s">
        <v>83</v>
      </c>
      <c r="B275" s="3" t="s">
        <v>201</v>
      </c>
      <c r="C275" s="5">
        <v>56000</v>
      </c>
      <c r="D275" s="5">
        <v>1000</v>
      </c>
      <c r="E275" s="5">
        <v>0</v>
      </c>
      <c r="F275" s="12">
        <f t="shared" si="4"/>
        <v>57000</v>
      </c>
    </row>
    <row r="276" spans="1:6" x14ac:dyDescent="0.3">
      <c r="A276" s="3" t="s">
        <v>87</v>
      </c>
      <c r="B276" s="3" t="s">
        <v>201</v>
      </c>
      <c r="C276" s="5">
        <v>45000</v>
      </c>
      <c r="D276" s="5">
        <v>1000</v>
      </c>
      <c r="E276" s="5">
        <v>300</v>
      </c>
      <c r="F276" s="12">
        <f t="shared" si="4"/>
        <v>45700</v>
      </c>
    </row>
    <row r="277" spans="1:6" x14ac:dyDescent="0.3">
      <c r="A277" s="3" t="s">
        <v>91</v>
      </c>
      <c r="B277" s="3" t="s">
        <v>201</v>
      </c>
      <c r="C277" s="5">
        <v>65000</v>
      </c>
      <c r="D277" s="5">
        <v>500</v>
      </c>
      <c r="E277" s="5">
        <v>200</v>
      </c>
      <c r="F277" s="12">
        <f t="shared" si="4"/>
        <v>65300</v>
      </c>
    </row>
    <row r="278" spans="1:6" x14ac:dyDescent="0.3">
      <c r="A278" s="3" t="s">
        <v>95</v>
      </c>
      <c r="B278" s="3" t="s">
        <v>201</v>
      </c>
      <c r="C278" s="5">
        <v>52000</v>
      </c>
      <c r="D278" s="5">
        <v>1000</v>
      </c>
      <c r="E278" s="5">
        <v>200</v>
      </c>
      <c r="F278" s="12">
        <f t="shared" si="4"/>
        <v>52800</v>
      </c>
    </row>
    <row r="279" spans="1:6" x14ac:dyDescent="0.3">
      <c r="A279" s="3" t="s">
        <v>99</v>
      </c>
      <c r="B279" s="3" t="s">
        <v>201</v>
      </c>
      <c r="C279" s="5">
        <v>60000</v>
      </c>
      <c r="D279" s="5">
        <v>0</v>
      </c>
      <c r="E279" s="5">
        <v>0</v>
      </c>
      <c r="F279" s="12">
        <f t="shared" si="4"/>
        <v>60000</v>
      </c>
    </row>
    <row r="280" spans="1:6" x14ac:dyDescent="0.3">
      <c r="A280" s="3" t="s">
        <v>103</v>
      </c>
      <c r="B280" s="3" t="s">
        <v>201</v>
      </c>
      <c r="C280" s="5">
        <v>32000</v>
      </c>
      <c r="D280" s="5">
        <v>1000</v>
      </c>
      <c r="E280" s="5">
        <v>0</v>
      </c>
      <c r="F280" s="12">
        <f t="shared" si="4"/>
        <v>33000</v>
      </c>
    </row>
    <row r="281" spans="1:6" x14ac:dyDescent="0.3">
      <c r="A281" s="3" t="s">
        <v>107</v>
      </c>
      <c r="B281" s="3" t="s">
        <v>201</v>
      </c>
      <c r="C281" s="5">
        <v>65000</v>
      </c>
      <c r="D281" s="5">
        <v>1000</v>
      </c>
      <c r="E281" s="5">
        <v>0</v>
      </c>
      <c r="F281" s="12">
        <f t="shared" si="4"/>
        <v>66000</v>
      </c>
    </row>
    <row r="282" spans="1:6" x14ac:dyDescent="0.3">
      <c r="A282" s="3" t="s">
        <v>111</v>
      </c>
      <c r="B282" s="3" t="s">
        <v>201</v>
      </c>
      <c r="C282" s="5">
        <v>52000</v>
      </c>
      <c r="D282" s="5">
        <v>500</v>
      </c>
      <c r="E282" s="5">
        <v>0</v>
      </c>
      <c r="F282" s="12">
        <f t="shared" si="4"/>
        <v>52500</v>
      </c>
    </row>
    <row r="283" spans="1:6" x14ac:dyDescent="0.3">
      <c r="A283" s="3" t="s">
        <v>115</v>
      </c>
      <c r="B283" s="3" t="s">
        <v>201</v>
      </c>
      <c r="C283" s="5">
        <v>35000</v>
      </c>
      <c r="D283" s="5">
        <v>1500</v>
      </c>
      <c r="E283" s="5">
        <v>0</v>
      </c>
      <c r="F283" s="12">
        <f t="shared" si="4"/>
        <v>36500</v>
      </c>
    </row>
    <row r="284" spans="1:6" x14ac:dyDescent="0.3">
      <c r="A284" s="3" t="s">
        <v>119</v>
      </c>
      <c r="B284" s="3" t="s">
        <v>201</v>
      </c>
      <c r="C284" s="5">
        <v>35000</v>
      </c>
      <c r="D284" s="5">
        <v>2000</v>
      </c>
      <c r="E284" s="5">
        <v>200</v>
      </c>
      <c r="F284" s="12">
        <f t="shared" si="4"/>
        <v>36800</v>
      </c>
    </row>
    <row r="285" spans="1:6" x14ac:dyDescent="0.3">
      <c r="A285" s="3" t="s">
        <v>123</v>
      </c>
      <c r="B285" s="3" t="s">
        <v>201</v>
      </c>
      <c r="C285" s="5">
        <v>35000</v>
      </c>
      <c r="D285" s="5">
        <v>1000</v>
      </c>
      <c r="E285" s="5">
        <v>0</v>
      </c>
      <c r="F285" s="12">
        <f t="shared" si="4"/>
        <v>36000</v>
      </c>
    </row>
    <row r="286" spans="1:6" x14ac:dyDescent="0.3">
      <c r="A286" s="3" t="s">
        <v>127</v>
      </c>
      <c r="B286" s="3" t="s">
        <v>201</v>
      </c>
      <c r="C286" s="5">
        <v>56000</v>
      </c>
      <c r="D286" s="5">
        <v>1000</v>
      </c>
      <c r="E286" s="5">
        <v>500</v>
      </c>
      <c r="F286" s="12">
        <f t="shared" si="4"/>
        <v>56500</v>
      </c>
    </row>
    <row r="287" spans="1:6" x14ac:dyDescent="0.3">
      <c r="A287" s="3" t="s">
        <v>131</v>
      </c>
      <c r="B287" s="3" t="s">
        <v>201</v>
      </c>
      <c r="C287" s="5">
        <v>32000</v>
      </c>
      <c r="D287" s="5">
        <v>500</v>
      </c>
      <c r="E287" s="5">
        <v>500</v>
      </c>
      <c r="F287" s="12">
        <f t="shared" si="4"/>
        <v>32000</v>
      </c>
    </row>
    <row r="288" spans="1:6" x14ac:dyDescent="0.3">
      <c r="A288" s="3" t="s">
        <v>135</v>
      </c>
      <c r="B288" s="3" t="s">
        <v>201</v>
      </c>
      <c r="C288" s="5">
        <v>48000</v>
      </c>
      <c r="D288" s="5">
        <v>500</v>
      </c>
      <c r="E288" s="5">
        <v>0</v>
      </c>
      <c r="F288" s="12">
        <f t="shared" si="4"/>
        <v>48500</v>
      </c>
    </row>
    <row r="289" spans="1:6" x14ac:dyDescent="0.3">
      <c r="A289" s="3" t="s">
        <v>139</v>
      </c>
      <c r="B289" s="3" t="s">
        <v>201</v>
      </c>
      <c r="C289" s="5">
        <v>42000</v>
      </c>
      <c r="D289" s="5">
        <v>1000</v>
      </c>
      <c r="E289" s="5">
        <v>0</v>
      </c>
      <c r="F289" s="12">
        <f t="shared" si="4"/>
        <v>43000</v>
      </c>
    </row>
    <row r="290" spans="1:6" x14ac:dyDescent="0.3">
      <c r="A290" s="3" t="s">
        <v>143</v>
      </c>
      <c r="B290" s="3" t="s">
        <v>201</v>
      </c>
      <c r="C290" s="5">
        <v>32000</v>
      </c>
      <c r="D290" s="5">
        <v>500</v>
      </c>
      <c r="E290" s="5">
        <v>0</v>
      </c>
      <c r="F290" s="12">
        <f t="shared" si="4"/>
        <v>32500</v>
      </c>
    </row>
    <row r="291" spans="1:6" x14ac:dyDescent="0.3">
      <c r="A291" s="3" t="s">
        <v>147</v>
      </c>
      <c r="B291" s="3" t="s">
        <v>201</v>
      </c>
      <c r="C291" s="5">
        <v>48000</v>
      </c>
      <c r="D291" s="5">
        <v>1000</v>
      </c>
      <c r="E291" s="5">
        <v>200</v>
      </c>
      <c r="F291" s="12">
        <f t="shared" si="4"/>
        <v>48800</v>
      </c>
    </row>
    <row r="292" spans="1:6" x14ac:dyDescent="0.3">
      <c r="A292" s="3" t="s">
        <v>151</v>
      </c>
      <c r="B292" s="3" t="s">
        <v>201</v>
      </c>
      <c r="C292" s="5">
        <v>65000</v>
      </c>
      <c r="D292" s="5">
        <v>0</v>
      </c>
      <c r="E292" s="5">
        <v>300</v>
      </c>
      <c r="F292" s="12">
        <f t="shared" si="4"/>
        <v>64700</v>
      </c>
    </row>
    <row r="293" spans="1:6" x14ac:dyDescent="0.3">
      <c r="A293" s="3" t="s">
        <v>155</v>
      </c>
      <c r="B293" s="3" t="s">
        <v>201</v>
      </c>
      <c r="C293" s="5">
        <v>52000</v>
      </c>
      <c r="D293" s="5">
        <v>1000</v>
      </c>
      <c r="E293" s="5">
        <v>500</v>
      </c>
      <c r="F293" s="12">
        <f t="shared" si="4"/>
        <v>52500</v>
      </c>
    </row>
    <row r="294" spans="1:6" x14ac:dyDescent="0.3">
      <c r="A294" s="3" t="s">
        <v>159</v>
      </c>
      <c r="B294" s="3" t="s">
        <v>201</v>
      </c>
      <c r="C294" s="5">
        <v>52000</v>
      </c>
      <c r="D294" s="5">
        <v>500</v>
      </c>
      <c r="E294" s="5">
        <v>300</v>
      </c>
      <c r="F294" s="12">
        <f t="shared" si="4"/>
        <v>52200</v>
      </c>
    </row>
    <row r="295" spans="1:6" x14ac:dyDescent="0.3">
      <c r="A295" s="3" t="s">
        <v>163</v>
      </c>
      <c r="B295" s="3" t="s">
        <v>201</v>
      </c>
      <c r="C295" s="5">
        <v>65000</v>
      </c>
      <c r="D295" s="5">
        <v>2000</v>
      </c>
      <c r="E295" s="5">
        <v>200</v>
      </c>
      <c r="F295" s="12">
        <f t="shared" si="4"/>
        <v>66800</v>
      </c>
    </row>
    <row r="296" spans="1:6" x14ac:dyDescent="0.3">
      <c r="A296" s="3" t="s">
        <v>39</v>
      </c>
      <c r="B296" s="3" t="s">
        <v>202</v>
      </c>
      <c r="C296" s="5">
        <v>48000</v>
      </c>
      <c r="D296" s="5">
        <v>500</v>
      </c>
      <c r="E296" s="5">
        <v>0</v>
      </c>
      <c r="F296" s="12">
        <f t="shared" si="4"/>
        <v>48500</v>
      </c>
    </row>
    <row r="297" spans="1:6" x14ac:dyDescent="0.3">
      <c r="A297" s="3" t="s">
        <v>44</v>
      </c>
      <c r="B297" s="3" t="s">
        <v>202</v>
      </c>
      <c r="C297" s="5">
        <v>60000</v>
      </c>
      <c r="D297" s="5">
        <v>0</v>
      </c>
      <c r="E297" s="5">
        <v>0</v>
      </c>
      <c r="F297" s="12">
        <f t="shared" si="4"/>
        <v>60000</v>
      </c>
    </row>
    <row r="298" spans="1:6" x14ac:dyDescent="0.3">
      <c r="A298" s="3" t="s">
        <v>49</v>
      </c>
      <c r="B298" s="3" t="s">
        <v>202</v>
      </c>
      <c r="C298" s="5">
        <v>65000</v>
      </c>
      <c r="D298" s="5">
        <v>500</v>
      </c>
      <c r="E298" s="5">
        <v>200</v>
      </c>
      <c r="F298" s="12">
        <f t="shared" si="4"/>
        <v>65300</v>
      </c>
    </row>
    <row r="299" spans="1:6" x14ac:dyDescent="0.3">
      <c r="A299" s="3" t="s">
        <v>59</v>
      </c>
      <c r="B299" s="3" t="s">
        <v>202</v>
      </c>
      <c r="C299" s="5">
        <v>35000</v>
      </c>
      <c r="D299" s="5">
        <v>500</v>
      </c>
      <c r="E299" s="5">
        <v>500</v>
      </c>
      <c r="F299" s="12">
        <f t="shared" si="4"/>
        <v>35000</v>
      </c>
    </row>
    <row r="300" spans="1:6" x14ac:dyDescent="0.3">
      <c r="A300" s="3" t="s">
        <v>64</v>
      </c>
      <c r="B300" s="3" t="s">
        <v>202</v>
      </c>
      <c r="C300" s="5">
        <v>65000</v>
      </c>
      <c r="D300" s="5">
        <v>500</v>
      </c>
      <c r="E300" s="5">
        <v>200</v>
      </c>
      <c r="F300" s="12">
        <f t="shared" si="4"/>
        <v>65300</v>
      </c>
    </row>
    <row r="301" spans="1:6" x14ac:dyDescent="0.3">
      <c r="A301" s="3" t="s">
        <v>69</v>
      </c>
      <c r="B301" s="3" t="s">
        <v>202</v>
      </c>
      <c r="C301" s="5">
        <v>65000</v>
      </c>
      <c r="D301" s="5">
        <v>2000</v>
      </c>
      <c r="E301" s="5">
        <v>0</v>
      </c>
      <c r="F301" s="12">
        <f t="shared" si="4"/>
        <v>67000</v>
      </c>
    </row>
    <row r="302" spans="1:6" x14ac:dyDescent="0.3">
      <c r="A302" s="3" t="s">
        <v>74</v>
      </c>
      <c r="B302" s="3" t="s">
        <v>202</v>
      </c>
      <c r="C302" s="5">
        <v>35000</v>
      </c>
      <c r="D302" s="5">
        <v>2000</v>
      </c>
      <c r="E302" s="5">
        <v>300</v>
      </c>
      <c r="F302" s="12">
        <f t="shared" si="4"/>
        <v>36700</v>
      </c>
    </row>
    <row r="303" spans="1:6" x14ac:dyDescent="0.3">
      <c r="A303" s="3" t="s">
        <v>79</v>
      </c>
      <c r="B303" s="3" t="s">
        <v>202</v>
      </c>
      <c r="C303" s="5">
        <v>35000</v>
      </c>
      <c r="D303" s="5">
        <v>1000</v>
      </c>
      <c r="E303" s="5">
        <v>500</v>
      </c>
      <c r="F303" s="12">
        <f t="shared" si="4"/>
        <v>35500</v>
      </c>
    </row>
    <row r="304" spans="1:6" x14ac:dyDescent="0.3">
      <c r="A304" s="3" t="s">
        <v>83</v>
      </c>
      <c r="B304" s="3" t="s">
        <v>202</v>
      </c>
      <c r="C304" s="5">
        <v>56000</v>
      </c>
      <c r="D304" s="5">
        <v>500</v>
      </c>
      <c r="E304" s="5">
        <v>200</v>
      </c>
      <c r="F304" s="12">
        <f t="shared" si="4"/>
        <v>56300</v>
      </c>
    </row>
    <row r="305" spans="1:6" x14ac:dyDescent="0.3">
      <c r="A305" s="3" t="s">
        <v>87</v>
      </c>
      <c r="B305" s="3" t="s">
        <v>202</v>
      </c>
      <c r="C305" s="5">
        <v>45000</v>
      </c>
      <c r="D305" s="5">
        <v>0</v>
      </c>
      <c r="E305" s="5">
        <v>500</v>
      </c>
      <c r="F305" s="12">
        <f t="shared" si="4"/>
        <v>44500</v>
      </c>
    </row>
    <row r="306" spans="1:6" x14ac:dyDescent="0.3">
      <c r="A306" s="3" t="s">
        <v>91</v>
      </c>
      <c r="B306" s="3" t="s">
        <v>202</v>
      </c>
      <c r="C306" s="5">
        <v>65000</v>
      </c>
      <c r="D306" s="5">
        <v>2000</v>
      </c>
      <c r="E306" s="5">
        <v>0</v>
      </c>
      <c r="F306" s="12">
        <f t="shared" si="4"/>
        <v>67000</v>
      </c>
    </row>
    <row r="307" spans="1:6" x14ac:dyDescent="0.3">
      <c r="A307" s="3" t="s">
        <v>95</v>
      </c>
      <c r="B307" s="3" t="s">
        <v>202</v>
      </c>
      <c r="C307" s="5">
        <v>52000</v>
      </c>
      <c r="D307" s="5">
        <v>0</v>
      </c>
      <c r="E307" s="5">
        <v>0</v>
      </c>
      <c r="F307" s="12">
        <f t="shared" si="4"/>
        <v>52000</v>
      </c>
    </row>
    <row r="308" spans="1:6" x14ac:dyDescent="0.3">
      <c r="A308" s="3" t="s">
        <v>99</v>
      </c>
      <c r="B308" s="3" t="s">
        <v>202</v>
      </c>
      <c r="C308" s="5">
        <v>60000</v>
      </c>
      <c r="D308" s="5">
        <v>1500</v>
      </c>
      <c r="E308" s="5">
        <v>500</v>
      </c>
      <c r="F308" s="12">
        <f t="shared" si="4"/>
        <v>61000</v>
      </c>
    </row>
    <row r="309" spans="1:6" x14ac:dyDescent="0.3">
      <c r="A309" s="3" t="s">
        <v>107</v>
      </c>
      <c r="B309" s="3" t="s">
        <v>202</v>
      </c>
      <c r="C309" s="5">
        <v>65000</v>
      </c>
      <c r="D309" s="5">
        <v>1000</v>
      </c>
      <c r="E309" s="5">
        <v>500</v>
      </c>
      <c r="F309" s="12">
        <f t="shared" si="4"/>
        <v>65500</v>
      </c>
    </row>
    <row r="310" spans="1:6" x14ac:dyDescent="0.3">
      <c r="A310" s="3" t="s">
        <v>111</v>
      </c>
      <c r="B310" s="3" t="s">
        <v>202</v>
      </c>
      <c r="C310" s="5">
        <v>52000</v>
      </c>
      <c r="D310" s="5">
        <v>1000</v>
      </c>
      <c r="E310" s="5">
        <v>0</v>
      </c>
      <c r="F310" s="12">
        <f t="shared" si="4"/>
        <v>53000</v>
      </c>
    </row>
    <row r="311" spans="1:6" x14ac:dyDescent="0.3">
      <c r="A311" s="3" t="s">
        <v>115</v>
      </c>
      <c r="B311" s="3" t="s">
        <v>202</v>
      </c>
      <c r="C311" s="5">
        <v>35000</v>
      </c>
      <c r="D311" s="5">
        <v>500</v>
      </c>
      <c r="E311" s="5">
        <v>0</v>
      </c>
      <c r="F311" s="12">
        <f t="shared" si="4"/>
        <v>35500</v>
      </c>
    </row>
    <row r="312" spans="1:6" x14ac:dyDescent="0.3">
      <c r="A312" s="3" t="s">
        <v>119</v>
      </c>
      <c r="B312" s="3" t="s">
        <v>202</v>
      </c>
      <c r="C312" s="5">
        <v>35000</v>
      </c>
      <c r="D312" s="5">
        <v>1000</v>
      </c>
      <c r="E312" s="5">
        <v>300</v>
      </c>
      <c r="F312" s="12">
        <f t="shared" si="4"/>
        <v>35700</v>
      </c>
    </row>
    <row r="313" spans="1:6" x14ac:dyDescent="0.3">
      <c r="A313" s="3" t="s">
        <v>123</v>
      </c>
      <c r="B313" s="3" t="s">
        <v>202</v>
      </c>
      <c r="C313" s="5">
        <v>35000</v>
      </c>
      <c r="D313" s="5">
        <v>1000</v>
      </c>
      <c r="E313" s="5">
        <v>300</v>
      </c>
      <c r="F313" s="12">
        <f t="shared" si="4"/>
        <v>35700</v>
      </c>
    </row>
    <row r="314" spans="1:6" x14ac:dyDescent="0.3">
      <c r="A314" s="3" t="s">
        <v>127</v>
      </c>
      <c r="B314" s="3" t="s">
        <v>202</v>
      </c>
      <c r="C314" s="5">
        <v>56000</v>
      </c>
      <c r="D314" s="5">
        <v>0</v>
      </c>
      <c r="E314" s="5">
        <v>0</v>
      </c>
      <c r="F314" s="12">
        <f t="shared" si="4"/>
        <v>56000</v>
      </c>
    </row>
    <row r="315" spans="1:6" x14ac:dyDescent="0.3">
      <c r="A315" s="3" t="s">
        <v>131</v>
      </c>
      <c r="B315" s="3" t="s">
        <v>202</v>
      </c>
      <c r="C315" s="5">
        <v>32000</v>
      </c>
      <c r="D315" s="5">
        <v>2000</v>
      </c>
      <c r="E315" s="5">
        <v>500</v>
      </c>
      <c r="F315" s="12">
        <f t="shared" si="4"/>
        <v>33500</v>
      </c>
    </row>
    <row r="316" spans="1:6" x14ac:dyDescent="0.3">
      <c r="A316" s="3" t="s">
        <v>135</v>
      </c>
      <c r="B316" s="3" t="s">
        <v>202</v>
      </c>
      <c r="C316" s="5">
        <v>48000</v>
      </c>
      <c r="D316" s="5">
        <v>500</v>
      </c>
      <c r="E316" s="5">
        <v>200</v>
      </c>
      <c r="F316" s="12">
        <f t="shared" si="4"/>
        <v>48300</v>
      </c>
    </row>
    <row r="317" spans="1:6" x14ac:dyDescent="0.3">
      <c r="A317" s="3" t="s">
        <v>139</v>
      </c>
      <c r="B317" s="3" t="s">
        <v>202</v>
      </c>
      <c r="C317" s="5">
        <v>42000</v>
      </c>
      <c r="D317" s="5">
        <v>1000</v>
      </c>
      <c r="E317" s="5">
        <v>200</v>
      </c>
      <c r="F317" s="12">
        <f t="shared" si="4"/>
        <v>42800</v>
      </c>
    </row>
    <row r="318" spans="1:6" x14ac:dyDescent="0.3">
      <c r="A318" s="3" t="s">
        <v>143</v>
      </c>
      <c r="B318" s="3" t="s">
        <v>202</v>
      </c>
      <c r="C318" s="5">
        <v>32000</v>
      </c>
      <c r="D318" s="5">
        <v>1000</v>
      </c>
      <c r="E318" s="5">
        <v>0</v>
      </c>
      <c r="F318" s="12">
        <f t="shared" si="4"/>
        <v>33000</v>
      </c>
    </row>
    <row r="319" spans="1:6" x14ac:dyDescent="0.3">
      <c r="A319" s="3" t="s">
        <v>147</v>
      </c>
      <c r="B319" s="3" t="s">
        <v>202</v>
      </c>
      <c r="C319" s="5">
        <v>48000</v>
      </c>
      <c r="D319" s="5">
        <v>0</v>
      </c>
      <c r="E319" s="5">
        <v>500</v>
      </c>
      <c r="F319" s="12">
        <f t="shared" si="4"/>
        <v>47500</v>
      </c>
    </row>
    <row r="320" spans="1:6" x14ac:dyDescent="0.3">
      <c r="A320" s="3" t="s">
        <v>151</v>
      </c>
      <c r="B320" s="3" t="s">
        <v>202</v>
      </c>
      <c r="C320" s="5">
        <v>65000</v>
      </c>
      <c r="D320" s="5">
        <v>0</v>
      </c>
      <c r="E320" s="5">
        <v>200</v>
      </c>
      <c r="F320" s="12">
        <f t="shared" si="4"/>
        <v>64800</v>
      </c>
    </row>
    <row r="321" spans="1:6" x14ac:dyDescent="0.3">
      <c r="A321" s="3" t="s">
        <v>155</v>
      </c>
      <c r="B321" s="3" t="s">
        <v>202</v>
      </c>
      <c r="C321" s="5">
        <v>52000</v>
      </c>
      <c r="D321" s="5">
        <v>0</v>
      </c>
      <c r="E321" s="5">
        <v>200</v>
      </c>
      <c r="F321" s="12">
        <f t="shared" si="4"/>
        <v>51800</v>
      </c>
    </row>
    <row r="322" spans="1:6" x14ac:dyDescent="0.3">
      <c r="A322" s="3" t="s">
        <v>159</v>
      </c>
      <c r="B322" s="3" t="s">
        <v>202</v>
      </c>
      <c r="C322" s="5">
        <v>52000</v>
      </c>
      <c r="D322" s="5">
        <v>2000</v>
      </c>
      <c r="E322" s="5">
        <v>0</v>
      </c>
      <c r="F322" s="12">
        <f t="shared" ref="F322:F385" si="5">C322+D322-E322</f>
        <v>54000</v>
      </c>
    </row>
    <row r="323" spans="1:6" x14ac:dyDescent="0.3">
      <c r="A323" s="3" t="s">
        <v>163</v>
      </c>
      <c r="B323" s="3" t="s">
        <v>202</v>
      </c>
      <c r="C323" s="5">
        <v>65000</v>
      </c>
      <c r="D323" s="5">
        <v>0</v>
      </c>
      <c r="E323" s="5">
        <v>500</v>
      </c>
      <c r="F323" s="12">
        <f t="shared" si="5"/>
        <v>64500</v>
      </c>
    </row>
    <row r="324" spans="1:6" x14ac:dyDescent="0.3">
      <c r="A324" s="3" t="s">
        <v>39</v>
      </c>
      <c r="B324" s="3" t="s">
        <v>203</v>
      </c>
      <c r="C324" s="5">
        <v>48000</v>
      </c>
      <c r="D324" s="5">
        <v>0</v>
      </c>
      <c r="E324" s="5">
        <v>500</v>
      </c>
      <c r="F324" s="12">
        <f t="shared" si="5"/>
        <v>47500</v>
      </c>
    </row>
    <row r="325" spans="1:6" x14ac:dyDescent="0.3">
      <c r="A325" s="3" t="s">
        <v>44</v>
      </c>
      <c r="B325" s="3" t="s">
        <v>203</v>
      </c>
      <c r="C325" s="5">
        <v>60000</v>
      </c>
      <c r="D325" s="5">
        <v>1000</v>
      </c>
      <c r="E325" s="5">
        <v>0</v>
      </c>
      <c r="F325" s="12">
        <f t="shared" si="5"/>
        <v>61000</v>
      </c>
    </row>
    <row r="326" spans="1:6" x14ac:dyDescent="0.3">
      <c r="A326" s="3" t="s">
        <v>49</v>
      </c>
      <c r="B326" s="3" t="s">
        <v>203</v>
      </c>
      <c r="C326" s="5">
        <v>65000</v>
      </c>
      <c r="D326" s="5">
        <v>0</v>
      </c>
      <c r="E326" s="5">
        <v>500</v>
      </c>
      <c r="F326" s="12">
        <f t="shared" si="5"/>
        <v>64500</v>
      </c>
    </row>
    <row r="327" spans="1:6" x14ac:dyDescent="0.3">
      <c r="A327" s="3" t="s">
        <v>59</v>
      </c>
      <c r="B327" s="3" t="s">
        <v>203</v>
      </c>
      <c r="C327" s="5">
        <v>35000</v>
      </c>
      <c r="D327" s="5">
        <v>1000</v>
      </c>
      <c r="E327" s="5">
        <v>500</v>
      </c>
      <c r="F327" s="12">
        <f t="shared" si="5"/>
        <v>35500</v>
      </c>
    </row>
    <row r="328" spans="1:6" x14ac:dyDescent="0.3">
      <c r="A328" s="3" t="s">
        <v>64</v>
      </c>
      <c r="B328" s="3" t="s">
        <v>203</v>
      </c>
      <c r="C328" s="5">
        <v>65000</v>
      </c>
      <c r="D328" s="5">
        <v>0</v>
      </c>
      <c r="E328" s="5">
        <v>500</v>
      </c>
      <c r="F328" s="12">
        <f t="shared" si="5"/>
        <v>64500</v>
      </c>
    </row>
    <row r="329" spans="1:6" x14ac:dyDescent="0.3">
      <c r="A329" s="3" t="s">
        <v>69</v>
      </c>
      <c r="B329" s="3" t="s">
        <v>203</v>
      </c>
      <c r="C329" s="5">
        <v>65000</v>
      </c>
      <c r="D329" s="5">
        <v>1500</v>
      </c>
      <c r="E329" s="5">
        <v>200</v>
      </c>
      <c r="F329" s="12">
        <f t="shared" si="5"/>
        <v>66300</v>
      </c>
    </row>
    <row r="330" spans="1:6" x14ac:dyDescent="0.3">
      <c r="A330" s="3" t="s">
        <v>74</v>
      </c>
      <c r="B330" s="3" t="s">
        <v>203</v>
      </c>
      <c r="C330" s="5">
        <v>35000</v>
      </c>
      <c r="D330" s="5">
        <v>500</v>
      </c>
      <c r="E330" s="5">
        <v>200</v>
      </c>
      <c r="F330" s="12">
        <f t="shared" si="5"/>
        <v>35300</v>
      </c>
    </row>
    <row r="331" spans="1:6" x14ac:dyDescent="0.3">
      <c r="A331" s="3" t="s">
        <v>79</v>
      </c>
      <c r="B331" s="3" t="s">
        <v>203</v>
      </c>
      <c r="C331" s="5">
        <v>35000</v>
      </c>
      <c r="D331" s="5">
        <v>0</v>
      </c>
      <c r="E331" s="5">
        <v>0</v>
      </c>
      <c r="F331" s="12">
        <f t="shared" si="5"/>
        <v>35000</v>
      </c>
    </row>
    <row r="332" spans="1:6" x14ac:dyDescent="0.3">
      <c r="A332" s="3" t="s">
        <v>83</v>
      </c>
      <c r="B332" s="3" t="s">
        <v>203</v>
      </c>
      <c r="C332" s="5">
        <v>56000</v>
      </c>
      <c r="D332" s="5">
        <v>500</v>
      </c>
      <c r="E332" s="5">
        <v>0</v>
      </c>
      <c r="F332" s="12">
        <f t="shared" si="5"/>
        <v>56500</v>
      </c>
    </row>
    <row r="333" spans="1:6" x14ac:dyDescent="0.3">
      <c r="A333" s="3" t="s">
        <v>87</v>
      </c>
      <c r="B333" s="3" t="s">
        <v>203</v>
      </c>
      <c r="C333" s="5">
        <v>45000</v>
      </c>
      <c r="D333" s="5">
        <v>2000</v>
      </c>
      <c r="E333" s="5">
        <v>300</v>
      </c>
      <c r="F333" s="12">
        <f t="shared" si="5"/>
        <v>46700</v>
      </c>
    </row>
    <row r="334" spans="1:6" x14ac:dyDescent="0.3">
      <c r="A334" s="3" t="s">
        <v>91</v>
      </c>
      <c r="B334" s="3" t="s">
        <v>203</v>
      </c>
      <c r="C334" s="5">
        <v>65000</v>
      </c>
      <c r="D334" s="5">
        <v>2000</v>
      </c>
      <c r="E334" s="5">
        <v>0</v>
      </c>
      <c r="F334" s="12">
        <f t="shared" si="5"/>
        <v>67000</v>
      </c>
    </row>
    <row r="335" spans="1:6" x14ac:dyDescent="0.3">
      <c r="A335" s="3" t="s">
        <v>95</v>
      </c>
      <c r="B335" s="3" t="s">
        <v>203</v>
      </c>
      <c r="C335" s="5">
        <v>52000</v>
      </c>
      <c r="D335" s="5">
        <v>0</v>
      </c>
      <c r="E335" s="5">
        <v>0</v>
      </c>
      <c r="F335" s="12">
        <f t="shared" si="5"/>
        <v>52000</v>
      </c>
    </row>
    <row r="336" spans="1:6" x14ac:dyDescent="0.3">
      <c r="A336" s="3" t="s">
        <v>99</v>
      </c>
      <c r="B336" s="3" t="s">
        <v>203</v>
      </c>
      <c r="C336" s="5">
        <v>60000</v>
      </c>
      <c r="D336" s="5">
        <v>0</v>
      </c>
      <c r="E336" s="5">
        <v>200</v>
      </c>
      <c r="F336" s="12">
        <f t="shared" si="5"/>
        <v>59800</v>
      </c>
    </row>
    <row r="337" spans="1:6" x14ac:dyDescent="0.3">
      <c r="A337" s="3" t="s">
        <v>107</v>
      </c>
      <c r="B337" s="3" t="s">
        <v>203</v>
      </c>
      <c r="C337" s="5">
        <v>65000</v>
      </c>
      <c r="D337" s="5">
        <v>1500</v>
      </c>
      <c r="E337" s="5">
        <v>300</v>
      </c>
      <c r="F337" s="12">
        <f t="shared" si="5"/>
        <v>66200</v>
      </c>
    </row>
    <row r="338" spans="1:6" x14ac:dyDescent="0.3">
      <c r="A338" s="3" t="s">
        <v>111</v>
      </c>
      <c r="B338" s="3" t="s">
        <v>203</v>
      </c>
      <c r="C338" s="5">
        <v>52000</v>
      </c>
      <c r="D338" s="5">
        <v>1500</v>
      </c>
      <c r="E338" s="5">
        <v>200</v>
      </c>
      <c r="F338" s="12">
        <f t="shared" si="5"/>
        <v>53300</v>
      </c>
    </row>
    <row r="339" spans="1:6" x14ac:dyDescent="0.3">
      <c r="A339" s="3" t="s">
        <v>115</v>
      </c>
      <c r="B339" s="3" t="s">
        <v>203</v>
      </c>
      <c r="C339" s="5">
        <v>35000</v>
      </c>
      <c r="D339" s="5">
        <v>500</v>
      </c>
      <c r="E339" s="5">
        <v>300</v>
      </c>
      <c r="F339" s="12">
        <f t="shared" si="5"/>
        <v>35200</v>
      </c>
    </row>
    <row r="340" spans="1:6" x14ac:dyDescent="0.3">
      <c r="A340" s="3" t="s">
        <v>119</v>
      </c>
      <c r="B340" s="3" t="s">
        <v>203</v>
      </c>
      <c r="C340" s="5">
        <v>35000</v>
      </c>
      <c r="D340" s="5">
        <v>500</v>
      </c>
      <c r="E340" s="5">
        <v>200</v>
      </c>
      <c r="F340" s="12">
        <f t="shared" si="5"/>
        <v>35300</v>
      </c>
    </row>
    <row r="341" spans="1:6" x14ac:dyDescent="0.3">
      <c r="A341" s="3" t="s">
        <v>123</v>
      </c>
      <c r="B341" s="3" t="s">
        <v>203</v>
      </c>
      <c r="C341" s="5">
        <v>35000</v>
      </c>
      <c r="D341" s="5">
        <v>2000</v>
      </c>
      <c r="E341" s="5">
        <v>500</v>
      </c>
      <c r="F341" s="12">
        <f t="shared" si="5"/>
        <v>36500</v>
      </c>
    </row>
    <row r="342" spans="1:6" x14ac:dyDescent="0.3">
      <c r="A342" s="3" t="s">
        <v>127</v>
      </c>
      <c r="B342" s="3" t="s">
        <v>203</v>
      </c>
      <c r="C342" s="5">
        <v>56000</v>
      </c>
      <c r="D342" s="5">
        <v>1000</v>
      </c>
      <c r="E342" s="5">
        <v>0</v>
      </c>
      <c r="F342" s="12">
        <f t="shared" si="5"/>
        <v>57000</v>
      </c>
    </row>
    <row r="343" spans="1:6" x14ac:dyDescent="0.3">
      <c r="A343" s="3" t="s">
        <v>131</v>
      </c>
      <c r="B343" s="3" t="s">
        <v>203</v>
      </c>
      <c r="C343" s="5">
        <v>32000</v>
      </c>
      <c r="D343" s="5">
        <v>2000</v>
      </c>
      <c r="E343" s="5">
        <v>0</v>
      </c>
      <c r="F343" s="12">
        <f t="shared" si="5"/>
        <v>34000</v>
      </c>
    </row>
    <row r="344" spans="1:6" x14ac:dyDescent="0.3">
      <c r="A344" s="3" t="s">
        <v>135</v>
      </c>
      <c r="B344" s="3" t="s">
        <v>203</v>
      </c>
      <c r="C344" s="5">
        <v>48000</v>
      </c>
      <c r="D344" s="5">
        <v>500</v>
      </c>
      <c r="E344" s="5">
        <v>200</v>
      </c>
      <c r="F344" s="12">
        <f t="shared" si="5"/>
        <v>48300</v>
      </c>
    </row>
    <row r="345" spans="1:6" x14ac:dyDescent="0.3">
      <c r="A345" s="3" t="s">
        <v>139</v>
      </c>
      <c r="B345" s="3" t="s">
        <v>203</v>
      </c>
      <c r="C345" s="5">
        <v>42000</v>
      </c>
      <c r="D345" s="5">
        <v>2000</v>
      </c>
      <c r="E345" s="5">
        <v>0</v>
      </c>
      <c r="F345" s="12">
        <f t="shared" si="5"/>
        <v>44000</v>
      </c>
    </row>
    <row r="346" spans="1:6" x14ac:dyDescent="0.3">
      <c r="A346" s="3" t="s">
        <v>143</v>
      </c>
      <c r="B346" s="3" t="s">
        <v>203</v>
      </c>
      <c r="C346" s="5">
        <v>32000</v>
      </c>
      <c r="D346" s="5">
        <v>1500</v>
      </c>
      <c r="E346" s="5">
        <v>0</v>
      </c>
      <c r="F346" s="12">
        <f t="shared" si="5"/>
        <v>33500</v>
      </c>
    </row>
    <row r="347" spans="1:6" x14ac:dyDescent="0.3">
      <c r="A347" s="3" t="s">
        <v>147</v>
      </c>
      <c r="B347" s="3" t="s">
        <v>203</v>
      </c>
      <c r="C347" s="5">
        <v>48000</v>
      </c>
      <c r="D347" s="5">
        <v>0</v>
      </c>
      <c r="E347" s="5">
        <v>0</v>
      </c>
      <c r="F347" s="12">
        <f t="shared" si="5"/>
        <v>48000</v>
      </c>
    </row>
    <row r="348" spans="1:6" x14ac:dyDescent="0.3">
      <c r="A348" s="3" t="s">
        <v>151</v>
      </c>
      <c r="B348" s="3" t="s">
        <v>203</v>
      </c>
      <c r="C348" s="5">
        <v>65000</v>
      </c>
      <c r="D348" s="5">
        <v>0</v>
      </c>
      <c r="E348" s="5">
        <v>200</v>
      </c>
      <c r="F348" s="12">
        <f t="shared" si="5"/>
        <v>64800</v>
      </c>
    </row>
    <row r="349" spans="1:6" x14ac:dyDescent="0.3">
      <c r="A349" s="3" t="s">
        <v>155</v>
      </c>
      <c r="B349" s="3" t="s">
        <v>203</v>
      </c>
      <c r="C349" s="5">
        <v>52000</v>
      </c>
      <c r="D349" s="5">
        <v>0</v>
      </c>
      <c r="E349" s="5">
        <v>300</v>
      </c>
      <c r="F349" s="12">
        <f t="shared" si="5"/>
        <v>51700</v>
      </c>
    </row>
    <row r="350" spans="1:6" x14ac:dyDescent="0.3">
      <c r="A350" s="3" t="s">
        <v>159</v>
      </c>
      <c r="B350" s="3" t="s">
        <v>203</v>
      </c>
      <c r="C350" s="5">
        <v>52000</v>
      </c>
      <c r="D350" s="5">
        <v>1500</v>
      </c>
      <c r="E350" s="5">
        <v>300</v>
      </c>
      <c r="F350" s="12">
        <f t="shared" si="5"/>
        <v>53200</v>
      </c>
    </row>
    <row r="351" spans="1:6" x14ac:dyDescent="0.3">
      <c r="A351" s="3" t="s">
        <v>163</v>
      </c>
      <c r="B351" s="3" t="s">
        <v>203</v>
      </c>
      <c r="C351" s="5">
        <v>65000</v>
      </c>
      <c r="D351" s="5">
        <v>0</v>
      </c>
      <c r="E351" s="5">
        <v>0</v>
      </c>
      <c r="F351" s="12">
        <f t="shared" si="5"/>
        <v>65000</v>
      </c>
    </row>
    <row r="352" spans="1:6" x14ac:dyDescent="0.3">
      <c r="A352" s="3" t="s">
        <v>39</v>
      </c>
      <c r="B352" s="3" t="s">
        <v>204</v>
      </c>
      <c r="C352" s="5">
        <v>48000</v>
      </c>
      <c r="D352" s="5">
        <v>1500</v>
      </c>
      <c r="E352" s="5">
        <v>300</v>
      </c>
      <c r="F352" s="12">
        <f t="shared" si="5"/>
        <v>49200</v>
      </c>
    </row>
    <row r="353" spans="1:6" x14ac:dyDescent="0.3">
      <c r="A353" s="3" t="s">
        <v>44</v>
      </c>
      <c r="B353" s="3" t="s">
        <v>204</v>
      </c>
      <c r="C353" s="5">
        <v>60000</v>
      </c>
      <c r="D353" s="5">
        <v>1000</v>
      </c>
      <c r="E353" s="5">
        <v>0</v>
      </c>
      <c r="F353" s="12">
        <f t="shared" si="5"/>
        <v>61000</v>
      </c>
    </row>
    <row r="354" spans="1:6" x14ac:dyDescent="0.3">
      <c r="A354" s="3" t="s">
        <v>49</v>
      </c>
      <c r="B354" s="3" t="s">
        <v>204</v>
      </c>
      <c r="C354" s="5">
        <v>65000</v>
      </c>
      <c r="D354" s="5">
        <v>500</v>
      </c>
      <c r="E354" s="5">
        <v>200</v>
      </c>
      <c r="F354" s="12">
        <f t="shared" si="5"/>
        <v>65300</v>
      </c>
    </row>
    <row r="355" spans="1:6" x14ac:dyDescent="0.3">
      <c r="A355" s="3" t="s">
        <v>59</v>
      </c>
      <c r="B355" s="3" t="s">
        <v>204</v>
      </c>
      <c r="C355" s="5">
        <v>35000</v>
      </c>
      <c r="D355" s="5">
        <v>1000</v>
      </c>
      <c r="E355" s="5">
        <v>500</v>
      </c>
      <c r="F355" s="12">
        <f t="shared" si="5"/>
        <v>35500</v>
      </c>
    </row>
    <row r="356" spans="1:6" x14ac:dyDescent="0.3">
      <c r="A356" s="3" t="s">
        <v>64</v>
      </c>
      <c r="B356" s="3" t="s">
        <v>204</v>
      </c>
      <c r="C356" s="5">
        <v>65000</v>
      </c>
      <c r="D356" s="5">
        <v>2000</v>
      </c>
      <c r="E356" s="5">
        <v>300</v>
      </c>
      <c r="F356" s="12">
        <f t="shared" si="5"/>
        <v>66700</v>
      </c>
    </row>
    <row r="357" spans="1:6" x14ac:dyDescent="0.3">
      <c r="A357" s="3" t="s">
        <v>69</v>
      </c>
      <c r="B357" s="3" t="s">
        <v>204</v>
      </c>
      <c r="C357" s="5">
        <v>65000</v>
      </c>
      <c r="D357" s="5">
        <v>500</v>
      </c>
      <c r="E357" s="5">
        <v>200</v>
      </c>
      <c r="F357" s="12">
        <f t="shared" si="5"/>
        <v>65300</v>
      </c>
    </row>
    <row r="358" spans="1:6" x14ac:dyDescent="0.3">
      <c r="A358" s="3" t="s">
        <v>74</v>
      </c>
      <c r="B358" s="3" t="s">
        <v>204</v>
      </c>
      <c r="C358" s="5">
        <v>35000</v>
      </c>
      <c r="D358" s="5">
        <v>500</v>
      </c>
      <c r="E358" s="5">
        <v>200</v>
      </c>
      <c r="F358" s="12">
        <f t="shared" si="5"/>
        <v>35300</v>
      </c>
    </row>
    <row r="359" spans="1:6" x14ac:dyDescent="0.3">
      <c r="A359" s="3" t="s">
        <v>79</v>
      </c>
      <c r="B359" s="3" t="s">
        <v>204</v>
      </c>
      <c r="C359" s="5">
        <v>35000</v>
      </c>
      <c r="D359" s="5">
        <v>0</v>
      </c>
      <c r="E359" s="5">
        <v>200</v>
      </c>
      <c r="F359" s="12">
        <f t="shared" si="5"/>
        <v>34800</v>
      </c>
    </row>
    <row r="360" spans="1:6" x14ac:dyDescent="0.3">
      <c r="A360" s="3" t="s">
        <v>83</v>
      </c>
      <c r="B360" s="3" t="s">
        <v>204</v>
      </c>
      <c r="C360" s="5">
        <v>56000</v>
      </c>
      <c r="D360" s="5">
        <v>0</v>
      </c>
      <c r="E360" s="5">
        <v>500</v>
      </c>
      <c r="F360" s="12">
        <f t="shared" si="5"/>
        <v>55500</v>
      </c>
    </row>
    <row r="361" spans="1:6" x14ac:dyDescent="0.3">
      <c r="A361" s="3" t="s">
        <v>87</v>
      </c>
      <c r="B361" s="3" t="s">
        <v>204</v>
      </c>
      <c r="C361" s="5">
        <v>45000</v>
      </c>
      <c r="D361" s="5">
        <v>0</v>
      </c>
      <c r="E361" s="5">
        <v>500</v>
      </c>
      <c r="F361" s="12">
        <f t="shared" si="5"/>
        <v>44500</v>
      </c>
    </row>
    <row r="362" spans="1:6" x14ac:dyDescent="0.3">
      <c r="A362" s="3" t="s">
        <v>91</v>
      </c>
      <c r="B362" s="3" t="s">
        <v>204</v>
      </c>
      <c r="C362" s="5">
        <v>65000</v>
      </c>
      <c r="D362" s="5">
        <v>1000</v>
      </c>
      <c r="E362" s="5">
        <v>0</v>
      </c>
      <c r="F362" s="12">
        <f t="shared" si="5"/>
        <v>66000</v>
      </c>
    </row>
    <row r="363" spans="1:6" x14ac:dyDescent="0.3">
      <c r="A363" s="3" t="s">
        <v>95</v>
      </c>
      <c r="B363" s="3" t="s">
        <v>204</v>
      </c>
      <c r="C363" s="5">
        <v>52000</v>
      </c>
      <c r="D363" s="5">
        <v>1500</v>
      </c>
      <c r="E363" s="5">
        <v>200</v>
      </c>
      <c r="F363" s="12">
        <f t="shared" si="5"/>
        <v>53300</v>
      </c>
    </row>
    <row r="364" spans="1:6" x14ac:dyDescent="0.3">
      <c r="A364" s="3" t="s">
        <v>99</v>
      </c>
      <c r="B364" s="3" t="s">
        <v>204</v>
      </c>
      <c r="C364" s="5">
        <v>60000</v>
      </c>
      <c r="D364" s="5">
        <v>0</v>
      </c>
      <c r="E364" s="5">
        <v>0</v>
      </c>
      <c r="F364" s="12">
        <f t="shared" si="5"/>
        <v>60000</v>
      </c>
    </row>
    <row r="365" spans="1:6" x14ac:dyDescent="0.3">
      <c r="A365" s="3" t="s">
        <v>107</v>
      </c>
      <c r="B365" s="3" t="s">
        <v>204</v>
      </c>
      <c r="C365" s="5">
        <v>65000</v>
      </c>
      <c r="D365" s="5">
        <v>0</v>
      </c>
      <c r="E365" s="5">
        <v>300</v>
      </c>
      <c r="F365" s="12">
        <f t="shared" si="5"/>
        <v>64700</v>
      </c>
    </row>
    <row r="366" spans="1:6" x14ac:dyDescent="0.3">
      <c r="A366" s="3" t="s">
        <v>111</v>
      </c>
      <c r="B366" s="3" t="s">
        <v>204</v>
      </c>
      <c r="C366" s="5">
        <v>52000</v>
      </c>
      <c r="D366" s="5">
        <v>1500</v>
      </c>
      <c r="E366" s="5">
        <v>200</v>
      </c>
      <c r="F366" s="12">
        <f t="shared" si="5"/>
        <v>53300</v>
      </c>
    </row>
    <row r="367" spans="1:6" x14ac:dyDescent="0.3">
      <c r="A367" s="3" t="s">
        <v>115</v>
      </c>
      <c r="B367" s="3" t="s">
        <v>204</v>
      </c>
      <c r="C367" s="5">
        <v>35000</v>
      </c>
      <c r="D367" s="5">
        <v>0</v>
      </c>
      <c r="E367" s="5">
        <v>0</v>
      </c>
      <c r="F367" s="12">
        <f t="shared" si="5"/>
        <v>35000</v>
      </c>
    </row>
    <row r="368" spans="1:6" x14ac:dyDescent="0.3">
      <c r="A368" s="3" t="s">
        <v>119</v>
      </c>
      <c r="B368" s="3" t="s">
        <v>204</v>
      </c>
      <c r="C368" s="5">
        <v>35000</v>
      </c>
      <c r="D368" s="5">
        <v>0</v>
      </c>
      <c r="E368" s="5">
        <v>300</v>
      </c>
      <c r="F368" s="12">
        <f t="shared" si="5"/>
        <v>34700</v>
      </c>
    </row>
    <row r="369" spans="1:6" x14ac:dyDescent="0.3">
      <c r="A369" s="3" t="s">
        <v>123</v>
      </c>
      <c r="B369" s="3" t="s">
        <v>204</v>
      </c>
      <c r="C369" s="5">
        <v>35000</v>
      </c>
      <c r="D369" s="5">
        <v>1500</v>
      </c>
      <c r="E369" s="5">
        <v>0</v>
      </c>
      <c r="F369" s="12">
        <f t="shared" si="5"/>
        <v>36500</v>
      </c>
    </row>
    <row r="370" spans="1:6" x14ac:dyDescent="0.3">
      <c r="A370" s="3" t="s">
        <v>127</v>
      </c>
      <c r="B370" s="3" t="s">
        <v>204</v>
      </c>
      <c r="C370" s="5">
        <v>56000</v>
      </c>
      <c r="D370" s="5">
        <v>500</v>
      </c>
      <c r="E370" s="5">
        <v>200</v>
      </c>
      <c r="F370" s="12">
        <f t="shared" si="5"/>
        <v>56300</v>
      </c>
    </row>
    <row r="371" spans="1:6" x14ac:dyDescent="0.3">
      <c r="A371" s="3" t="s">
        <v>131</v>
      </c>
      <c r="B371" s="3" t="s">
        <v>204</v>
      </c>
      <c r="C371" s="5">
        <v>32000</v>
      </c>
      <c r="D371" s="5">
        <v>1000</v>
      </c>
      <c r="E371" s="5">
        <v>200</v>
      </c>
      <c r="F371" s="12">
        <f t="shared" si="5"/>
        <v>32800</v>
      </c>
    </row>
    <row r="372" spans="1:6" x14ac:dyDescent="0.3">
      <c r="A372" s="3" t="s">
        <v>135</v>
      </c>
      <c r="B372" s="3" t="s">
        <v>204</v>
      </c>
      <c r="C372" s="5">
        <v>48000</v>
      </c>
      <c r="D372" s="5">
        <v>2000</v>
      </c>
      <c r="E372" s="5">
        <v>300</v>
      </c>
      <c r="F372" s="12">
        <f t="shared" si="5"/>
        <v>49700</v>
      </c>
    </row>
    <row r="373" spans="1:6" x14ac:dyDescent="0.3">
      <c r="A373" s="3" t="s">
        <v>139</v>
      </c>
      <c r="B373" s="3" t="s">
        <v>204</v>
      </c>
      <c r="C373" s="5">
        <v>42000</v>
      </c>
      <c r="D373" s="5">
        <v>1000</v>
      </c>
      <c r="E373" s="5">
        <v>0</v>
      </c>
      <c r="F373" s="12">
        <f t="shared" si="5"/>
        <v>43000</v>
      </c>
    </row>
    <row r="374" spans="1:6" x14ac:dyDescent="0.3">
      <c r="A374" s="3" t="s">
        <v>143</v>
      </c>
      <c r="B374" s="3" t="s">
        <v>204</v>
      </c>
      <c r="C374" s="5">
        <v>32000</v>
      </c>
      <c r="D374" s="5">
        <v>0</v>
      </c>
      <c r="E374" s="5">
        <v>0</v>
      </c>
      <c r="F374" s="12">
        <f t="shared" si="5"/>
        <v>32000</v>
      </c>
    </row>
    <row r="375" spans="1:6" x14ac:dyDescent="0.3">
      <c r="A375" s="3" t="s">
        <v>147</v>
      </c>
      <c r="B375" s="3" t="s">
        <v>204</v>
      </c>
      <c r="C375" s="5">
        <v>48000</v>
      </c>
      <c r="D375" s="5">
        <v>2000</v>
      </c>
      <c r="E375" s="5">
        <v>0</v>
      </c>
      <c r="F375" s="12">
        <f t="shared" si="5"/>
        <v>50000</v>
      </c>
    </row>
    <row r="376" spans="1:6" x14ac:dyDescent="0.3">
      <c r="A376" s="3" t="s">
        <v>151</v>
      </c>
      <c r="B376" s="3" t="s">
        <v>204</v>
      </c>
      <c r="C376" s="5">
        <v>65000</v>
      </c>
      <c r="D376" s="5">
        <v>0</v>
      </c>
      <c r="E376" s="5">
        <v>0</v>
      </c>
      <c r="F376" s="12">
        <f t="shared" si="5"/>
        <v>65000</v>
      </c>
    </row>
    <row r="377" spans="1:6" x14ac:dyDescent="0.3">
      <c r="A377" s="3" t="s">
        <v>155</v>
      </c>
      <c r="B377" s="3" t="s">
        <v>204</v>
      </c>
      <c r="C377" s="5">
        <v>52000</v>
      </c>
      <c r="D377" s="5">
        <v>500</v>
      </c>
      <c r="E377" s="5">
        <v>200</v>
      </c>
      <c r="F377" s="12">
        <f t="shared" si="5"/>
        <v>52300</v>
      </c>
    </row>
    <row r="378" spans="1:6" x14ac:dyDescent="0.3">
      <c r="A378" s="3" t="s">
        <v>159</v>
      </c>
      <c r="B378" s="3" t="s">
        <v>204</v>
      </c>
      <c r="C378" s="5">
        <v>52000</v>
      </c>
      <c r="D378" s="5">
        <v>2000</v>
      </c>
      <c r="E378" s="5">
        <v>500</v>
      </c>
      <c r="F378" s="12">
        <f t="shared" si="5"/>
        <v>53500</v>
      </c>
    </row>
    <row r="379" spans="1:6" x14ac:dyDescent="0.3">
      <c r="A379" s="3" t="s">
        <v>163</v>
      </c>
      <c r="B379" s="3" t="s">
        <v>204</v>
      </c>
      <c r="C379" s="5">
        <v>65000</v>
      </c>
      <c r="D379" s="5">
        <v>0</v>
      </c>
      <c r="E379" s="5">
        <v>300</v>
      </c>
      <c r="F379" s="12">
        <f t="shared" si="5"/>
        <v>64700</v>
      </c>
    </row>
    <row r="380" spans="1:6" x14ac:dyDescent="0.3">
      <c r="A380" s="3" t="s">
        <v>39</v>
      </c>
      <c r="B380" s="3" t="s">
        <v>205</v>
      </c>
      <c r="C380" s="5">
        <v>48000</v>
      </c>
      <c r="D380" s="5">
        <v>500</v>
      </c>
      <c r="E380" s="5">
        <v>0</v>
      </c>
      <c r="F380" s="12">
        <f t="shared" si="5"/>
        <v>48500</v>
      </c>
    </row>
    <row r="381" spans="1:6" x14ac:dyDescent="0.3">
      <c r="A381" s="3" t="s">
        <v>44</v>
      </c>
      <c r="B381" s="3" t="s">
        <v>205</v>
      </c>
      <c r="C381" s="5">
        <v>60000</v>
      </c>
      <c r="D381" s="5">
        <v>1500</v>
      </c>
      <c r="E381" s="5">
        <v>300</v>
      </c>
      <c r="F381" s="12">
        <f t="shared" si="5"/>
        <v>61200</v>
      </c>
    </row>
    <row r="382" spans="1:6" x14ac:dyDescent="0.3">
      <c r="A382" s="3" t="s">
        <v>49</v>
      </c>
      <c r="B382" s="3" t="s">
        <v>205</v>
      </c>
      <c r="C382" s="5">
        <v>65000</v>
      </c>
      <c r="D382" s="5">
        <v>0</v>
      </c>
      <c r="E382" s="5">
        <v>200</v>
      </c>
      <c r="F382" s="12">
        <f t="shared" si="5"/>
        <v>64800</v>
      </c>
    </row>
    <row r="383" spans="1:6" x14ac:dyDescent="0.3">
      <c r="A383" s="3" t="s">
        <v>59</v>
      </c>
      <c r="B383" s="3" t="s">
        <v>205</v>
      </c>
      <c r="C383" s="5">
        <v>35000</v>
      </c>
      <c r="D383" s="5">
        <v>0</v>
      </c>
      <c r="E383" s="5">
        <v>200</v>
      </c>
      <c r="F383" s="12">
        <f t="shared" si="5"/>
        <v>34800</v>
      </c>
    </row>
    <row r="384" spans="1:6" x14ac:dyDescent="0.3">
      <c r="A384" s="3" t="s">
        <v>64</v>
      </c>
      <c r="B384" s="3" t="s">
        <v>205</v>
      </c>
      <c r="C384" s="5">
        <v>65000</v>
      </c>
      <c r="D384" s="5">
        <v>1000</v>
      </c>
      <c r="E384" s="5">
        <v>200</v>
      </c>
      <c r="F384" s="12">
        <f t="shared" si="5"/>
        <v>65800</v>
      </c>
    </row>
    <row r="385" spans="1:6" x14ac:dyDescent="0.3">
      <c r="A385" s="3" t="s">
        <v>69</v>
      </c>
      <c r="B385" s="3" t="s">
        <v>205</v>
      </c>
      <c r="C385" s="5">
        <v>65000</v>
      </c>
      <c r="D385" s="5">
        <v>0</v>
      </c>
      <c r="E385" s="5">
        <v>300</v>
      </c>
      <c r="F385" s="12">
        <f t="shared" si="5"/>
        <v>64700</v>
      </c>
    </row>
    <row r="386" spans="1:6" x14ac:dyDescent="0.3">
      <c r="A386" s="3" t="s">
        <v>74</v>
      </c>
      <c r="B386" s="3" t="s">
        <v>205</v>
      </c>
      <c r="C386" s="5">
        <v>35000</v>
      </c>
      <c r="D386" s="5">
        <v>2000</v>
      </c>
      <c r="E386" s="5">
        <v>500</v>
      </c>
      <c r="F386" s="12">
        <f t="shared" ref="F386:F449" si="6">C386+D386-E386</f>
        <v>36500</v>
      </c>
    </row>
    <row r="387" spans="1:6" x14ac:dyDescent="0.3">
      <c r="A387" s="3" t="s">
        <v>79</v>
      </c>
      <c r="B387" s="3" t="s">
        <v>205</v>
      </c>
      <c r="C387" s="5">
        <v>35000</v>
      </c>
      <c r="D387" s="5">
        <v>1000</v>
      </c>
      <c r="E387" s="5">
        <v>0</v>
      </c>
      <c r="F387" s="12">
        <f t="shared" si="6"/>
        <v>36000</v>
      </c>
    </row>
    <row r="388" spans="1:6" x14ac:dyDescent="0.3">
      <c r="A388" s="3" t="s">
        <v>83</v>
      </c>
      <c r="B388" s="3" t="s">
        <v>205</v>
      </c>
      <c r="C388" s="5">
        <v>56000</v>
      </c>
      <c r="D388" s="5">
        <v>1500</v>
      </c>
      <c r="E388" s="5">
        <v>300</v>
      </c>
      <c r="F388" s="12">
        <f t="shared" si="6"/>
        <v>57200</v>
      </c>
    </row>
    <row r="389" spans="1:6" x14ac:dyDescent="0.3">
      <c r="A389" s="3" t="s">
        <v>87</v>
      </c>
      <c r="B389" s="3" t="s">
        <v>205</v>
      </c>
      <c r="C389" s="5">
        <v>45000</v>
      </c>
      <c r="D389" s="5">
        <v>2000</v>
      </c>
      <c r="E389" s="5">
        <v>0</v>
      </c>
      <c r="F389" s="12">
        <f t="shared" si="6"/>
        <v>47000</v>
      </c>
    </row>
    <row r="390" spans="1:6" x14ac:dyDescent="0.3">
      <c r="A390" s="3" t="s">
        <v>91</v>
      </c>
      <c r="B390" s="3" t="s">
        <v>205</v>
      </c>
      <c r="C390" s="5">
        <v>65000</v>
      </c>
      <c r="D390" s="5">
        <v>1500</v>
      </c>
      <c r="E390" s="5">
        <v>200</v>
      </c>
      <c r="F390" s="12">
        <f t="shared" si="6"/>
        <v>66300</v>
      </c>
    </row>
    <row r="391" spans="1:6" x14ac:dyDescent="0.3">
      <c r="A391" s="3" t="s">
        <v>95</v>
      </c>
      <c r="B391" s="3" t="s">
        <v>205</v>
      </c>
      <c r="C391" s="5">
        <v>52000</v>
      </c>
      <c r="D391" s="5">
        <v>0</v>
      </c>
      <c r="E391" s="5">
        <v>300</v>
      </c>
      <c r="F391" s="12">
        <f t="shared" si="6"/>
        <v>51700</v>
      </c>
    </row>
    <row r="392" spans="1:6" x14ac:dyDescent="0.3">
      <c r="A392" s="3" t="s">
        <v>99</v>
      </c>
      <c r="B392" s="3" t="s">
        <v>205</v>
      </c>
      <c r="C392" s="5">
        <v>60000</v>
      </c>
      <c r="D392" s="5">
        <v>0</v>
      </c>
      <c r="E392" s="5">
        <v>0</v>
      </c>
      <c r="F392" s="12">
        <f t="shared" si="6"/>
        <v>60000</v>
      </c>
    </row>
    <row r="393" spans="1:6" x14ac:dyDescent="0.3">
      <c r="A393" s="3" t="s">
        <v>107</v>
      </c>
      <c r="B393" s="3" t="s">
        <v>205</v>
      </c>
      <c r="C393" s="5">
        <v>65000</v>
      </c>
      <c r="D393" s="5">
        <v>1500</v>
      </c>
      <c r="E393" s="5">
        <v>200</v>
      </c>
      <c r="F393" s="12">
        <f t="shared" si="6"/>
        <v>66300</v>
      </c>
    </row>
    <row r="394" spans="1:6" x14ac:dyDescent="0.3">
      <c r="A394" s="3" t="s">
        <v>111</v>
      </c>
      <c r="B394" s="3" t="s">
        <v>205</v>
      </c>
      <c r="C394" s="5">
        <v>52000</v>
      </c>
      <c r="D394" s="5">
        <v>1000</v>
      </c>
      <c r="E394" s="5">
        <v>300</v>
      </c>
      <c r="F394" s="12">
        <f t="shared" si="6"/>
        <v>52700</v>
      </c>
    </row>
    <row r="395" spans="1:6" x14ac:dyDescent="0.3">
      <c r="A395" s="3" t="s">
        <v>115</v>
      </c>
      <c r="B395" s="3" t="s">
        <v>205</v>
      </c>
      <c r="C395" s="5">
        <v>35000</v>
      </c>
      <c r="D395" s="5">
        <v>0</v>
      </c>
      <c r="E395" s="5">
        <v>0</v>
      </c>
      <c r="F395" s="12">
        <f t="shared" si="6"/>
        <v>35000</v>
      </c>
    </row>
    <row r="396" spans="1:6" x14ac:dyDescent="0.3">
      <c r="A396" s="3" t="s">
        <v>119</v>
      </c>
      <c r="B396" s="3" t="s">
        <v>205</v>
      </c>
      <c r="C396" s="5">
        <v>35000</v>
      </c>
      <c r="D396" s="5">
        <v>500</v>
      </c>
      <c r="E396" s="5">
        <v>0</v>
      </c>
      <c r="F396" s="12">
        <f t="shared" si="6"/>
        <v>35500</v>
      </c>
    </row>
    <row r="397" spans="1:6" x14ac:dyDescent="0.3">
      <c r="A397" s="3" t="s">
        <v>123</v>
      </c>
      <c r="B397" s="3" t="s">
        <v>205</v>
      </c>
      <c r="C397" s="5">
        <v>35000</v>
      </c>
      <c r="D397" s="5">
        <v>500</v>
      </c>
      <c r="E397" s="5">
        <v>500</v>
      </c>
      <c r="F397" s="12">
        <f t="shared" si="6"/>
        <v>35000</v>
      </c>
    </row>
    <row r="398" spans="1:6" x14ac:dyDescent="0.3">
      <c r="A398" s="3" t="s">
        <v>127</v>
      </c>
      <c r="B398" s="3" t="s">
        <v>205</v>
      </c>
      <c r="C398" s="5">
        <v>56000</v>
      </c>
      <c r="D398" s="5">
        <v>1500</v>
      </c>
      <c r="E398" s="5">
        <v>0</v>
      </c>
      <c r="F398" s="12">
        <f t="shared" si="6"/>
        <v>57500</v>
      </c>
    </row>
    <row r="399" spans="1:6" x14ac:dyDescent="0.3">
      <c r="A399" s="3" t="s">
        <v>131</v>
      </c>
      <c r="B399" s="3" t="s">
        <v>205</v>
      </c>
      <c r="C399" s="5">
        <v>32000</v>
      </c>
      <c r="D399" s="5">
        <v>500</v>
      </c>
      <c r="E399" s="5">
        <v>300</v>
      </c>
      <c r="F399" s="12">
        <f t="shared" si="6"/>
        <v>32200</v>
      </c>
    </row>
    <row r="400" spans="1:6" x14ac:dyDescent="0.3">
      <c r="A400" s="3" t="s">
        <v>135</v>
      </c>
      <c r="B400" s="3" t="s">
        <v>205</v>
      </c>
      <c r="C400" s="5">
        <v>48000</v>
      </c>
      <c r="D400" s="5">
        <v>500</v>
      </c>
      <c r="E400" s="5">
        <v>200</v>
      </c>
      <c r="F400" s="12">
        <f t="shared" si="6"/>
        <v>48300</v>
      </c>
    </row>
    <row r="401" spans="1:6" x14ac:dyDescent="0.3">
      <c r="A401" s="3" t="s">
        <v>139</v>
      </c>
      <c r="B401" s="3" t="s">
        <v>205</v>
      </c>
      <c r="C401" s="5">
        <v>42000</v>
      </c>
      <c r="D401" s="5">
        <v>0</v>
      </c>
      <c r="E401" s="5">
        <v>0</v>
      </c>
      <c r="F401" s="12">
        <f t="shared" si="6"/>
        <v>42000</v>
      </c>
    </row>
    <row r="402" spans="1:6" x14ac:dyDescent="0.3">
      <c r="A402" s="3" t="s">
        <v>143</v>
      </c>
      <c r="B402" s="3" t="s">
        <v>205</v>
      </c>
      <c r="C402" s="5">
        <v>32000</v>
      </c>
      <c r="D402" s="5">
        <v>1000</v>
      </c>
      <c r="E402" s="5">
        <v>0</v>
      </c>
      <c r="F402" s="12">
        <f t="shared" si="6"/>
        <v>33000</v>
      </c>
    </row>
    <row r="403" spans="1:6" x14ac:dyDescent="0.3">
      <c r="A403" s="3" t="s">
        <v>147</v>
      </c>
      <c r="B403" s="3" t="s">
        <v>205</v>
      </c>
      <c r="C403" s="5">
        <v>48000</v>
      </c>
      <c r="D403" s="5">
        <v>500</v>
      </c>
      <c r="E403" s="5">
        <v>500</v>
      </c>
      <c r="F403" s="12">
        <f t="shared" si="6"/>
        <v>48000</v>
      </c>
    </row>
    <row r="404" spans="1:6" x14ac:dyDescent="0.3">
      <c r="A404" s="3" t="s">
        <v>151</v>
      </c>
      <c r="B404" s="3" t="s">
        <v>205</v>
      </c>
      <c r="C404" s="5">
        <v>65000</v>
      </c>
      <c r="D404" s="5">
        <v>500</v>
      </c>
      <c r="E404" s="5">
        <v>500</v>
      </c>
      <c r="F404" s="12">
        <f t="shared" si="6"/>
        <v>65000</v>
      </c>
    </row>
    <row r="405" spans="1:6" x14ac:dyDescent="0.3">
      <c r="A405" s="3" t="s">
        <v>155</v>
      </c>
      <c r="B405" s="3" t="s">
        <v>205</v>
      </c>
      <c r="C405" s="5">
        <v>52000</v>
      </c>
      <c r="D405" s="5">
        <v>0</v>
      </c>
      <c r="E405" s="5">
        <v>0</v>
      </c>
      <c r="F405" s="12">
        <f t="shared" si="6"/>
        <v>52000</v>
      </c>
    </row>
    <row r="406" spans="1:6" x14ac:dyDescent="0.3">
      <c r="A406" s="3" t="s">
        <v>159</v>
      </c>
      <c r="B406" s="3" t="s">
        <v>205</v>
      </c>
      <c r="C406" s="5">
        <v>52000</v>
      </c>
      <c r="D406" s="5">
        <v>0</v>
      </c>
      <c r="E406" s="5">
        <v>0</v>
      </c>
      <c r="F406" s="12">
        <f t="shared" si="6"/>
        <v>52000</v>
      </c>
    </row>
    <row r="407" spans="1:6" x14ac:dyDescent="0.3">
      <c r="A407" s="3" t="s">
        <v>163</v>
      </c>
      <c r="B407" s="3" t="s">
        <v>205</v>
      </c>
      <c r="C407" s="5">
        <v>65000</v>
      </c>
      <c r="D407" s="5">
        <v>500</v>
      </c>
      <c r="E407" s="5">
        <v>0</v>
      </c>
      <c r="F407" s="12">
        <f t="shared" si="6"/>
        <v>65500</v>
      </c>
    </row>
    <row r="408" spans="1:6" x14ac:dyDescent="0.3">
      <c r="A408" s="3" t="s">
        <v>39</v>
      </c>
      <c r="B408" s="3" t="s">
        <v>206</v>
      </c>
      <c r="C408" s="5">
        <v>48000</v>
      </c>
      <c r="D408" s="5">
        <v>0</v>
      </c>
      <c r="E408" s="5">
        <v>0</v>
      </c>
      <c r="F408" s="12">
        <f t="shared" si="6"/>
        <v>48000</v>
      </c>
    </row>
    <row r="409" spans="1:6" x14ac:dyDescent="0.3">
      <c r="A409" s="3" t="s">
        <v>44</v>
      </c>
      <c r="B409" s="3" t="s">
        <v>206</v>
      </c>
      <c r="C409" s="5">
        <v>60000</v>
      </c>
      <c r="D409" s="5">
        <v>500</v>
      </c>
      <c r="E409" s="5">
        <v>300</v>
      </c>
      <c r="F409" s="12">
        <f t="shared" si="6"/>
        <v>60200</v>
      </c>
    </row>
    <row r="410" spans="1:6" x14ac:dyDescent="0.3">
      <c r="A410" s="3" t="s">
        <v>49</v>
      </c>
      <c r="B410" s="3" t="s">
        <v>206</v>
      </c>
      <c r="C410" s="5">
        <v>65000</v>
      </c>
      <c r="D410" s="5">
        <v>0</v>
      </c>
      <c r="E410" s="5">
        <v>0</v>
      </c>
      <c r="F410" s="12">
        <f t="shared" si="6"/>
        <v>65000</v>
      </c>
    </row>
    <row r="411" spans="1:6" x14ac:dyDescent="0.3">
      <c r="A411" s="3" t="s">
        <v>59</v>
      </c>
      <c r="B411" s="3" t="s">
        <v>206</v>
      </c>
      <c r="C411" s="5">
        <v>35000</v>
      </c>
      <c r="D411" s="5">
        <v>1000</v>
      </c>
      <c r="E411" s="5">
        <v>300</v>
      </c>
      <c r="F411" s="12">
        <f t="shared" si="6"/>
        <v>35700</v>
      </c>
    </row>
    <row r="412" spans="1:6" x14ac:dyDescent="0.3">
      <c r="A412" s="3" t="s">
        <v>64</v>
      </c>
      <c r="B412" s="3" t="s">
        <v>206</v>
      </c>
      <c r="C412" s="5">
        <v>65000</v>
      </c>
      <c r="D412" s="5">
        <v>0</v>
      </c>
      <c r="E412" s="5">
        <v>300</v>
      </c>
      <c r="F412" s="12">
        <f t="shared" si="6"/>
        <v>64700</v>
      </c>
    </row>
    <row r="413" spans="1:6" x14ac:dyDescent="0.3">
      <c r="A413" s="3" t="s">
        <v>69</v>
      </c>
      <c r="B413" s="3" t="s">
        <v>206</v>
      </c>
      <c r="C413" s="5">
        <v>65000</v>
      </c>
      <c r="D413" s="5">
        <v>500</v>
      </c>
      <c r="E413" s="5">
        <v>500</v>
      </c>
      <c r="F413" s="12">
        <f t="shared" si="6"/>
        <v>65000</v>
      </c>
    </row>
    <row r="414" spans="1:6" x14ac:dyDescent="0.3">
      <c r="A414" s="3" t="s">
        <v>74</v>
      </c>
      <c r="B414" s="3" t="s">
        <v>206</v>
      </c>
      <c r="C414" s="5">
        <v>35000</v>
      </c>
      <c r="D414" s="5">
        <v>1000</v>
      </c>
      <c r="E414" s="5">
        <v>500</v>
      </c>
      <c r="F414" s="12">
        <f t="shared" si="6"/>
        <v>35500</v>
      </c>
    </row>
    <row r="415" spans="1:6" x14ac:dyDescent="0.3">
      <c r="A415" s="3" t="s">
        <v>79</v>
      </c>
      <c r="B415" s="3" t="s">
        <v>206</v>
      </c>
      <c r="C415" s="5">
        <v>35000</v>
      </c>
      <c r="D415" s="5">
        <v>0</v>
      </c>
      <c r="E415" s="5">
        <v>0</v>
      </c>
      <c r="F415" s="12">
        <f t="shared" si="6"/>
        <v>35000</v>
      </c>
    </row>
    <row r="416" spans="1:6" x14ac:dyDescent="0.3">
      <c r="A416" s="3" t="s">
        <v>83</v>
      </c>
      <c r="B416" s="3" t="s">
        <v>206</v>
      </c>
      <c r="C416" s="5">
        <v>56000</v>
      </c>
      <c r="D416" s="5">
        <v>1500</v>
      </c>
      <c r="E416" s="5">
        <v>500</v>
      </c>
      <c r="F416" s="12">
        <f t="shared" si="6"/>
        <v>57000</v>
      </c>
    </row>
    <row r="417" spans="1:6" x14ac:dyDescent="0.3">
      <c r="A417" s="3" t="s">
        <v>87</v>
      </c>
      <c r="B417" s="3" t="s">
        <v>206</v>
      </c>
      <c r="C417" s="5">
        <v>45000</v>
      </c>
      <c r="D417" s="5">
        <v>2000</v>
      </c>
      <c r="E417" s="5">
        <v>500</v>
      </c>
      <c r="F417" s="12">
        <f t="shared" si="6"/>
        <v>46500</v>
      </c>
    </row>
    <row r="418" spans="1:6" x14ac:dyDescent="0.3">
      <c r="A418" s="3" t="s">
        <v>91</v>
      </c>
      <c r="B418" s="3" t="s">
        <v>206</v>
      </c>
      <c r="C418" s="5">
        <v>65000</v>
      </c>
      <c r="D418" s="5">
        <v>500</v>
      </c>
      <c r="E418" s="5">
        <v>200</v>
      </c>
      <c r="F418" s="12">
        <f t="shared" si="6"/>
        <v>65300</v>
      </c>
    </row>
    <row r="419" spans="1:6" x14ac:dyDescent="0.3">
      <c r="A419" s="3" t="s">
        <v>95</v>
      </c>
      <c r="B419" s="3" t="s">
        <v>206</v>
      </c>
      <c r="C419" s="5">
        <v>52000</v>
      </c>
      <c r="D419" s="5">
        <v>0</v>
      </c>
      <c r="E419" s="5">
        <v>200</v>
      </c>
      <c r="F419" s="12">
        <f t="shared" si="6"/>
        <v>51800</v>
      </c>
    </row>
    <row r="420" spans="1:6" x14ac:dyDescent="0.3">
      <c r="A420" s="3" t="s">
        <v>99</v>
      </c>
      <c r="B420" s="3" t="s">
        <v>206</v>
      </c>
      <c r="C420" s="5">
        <v>60000</v>
      </c>
      <c r="D420" s="5">
        <v>0</v>
      </c>
      <c r="E420" s="5">
        <v>300</v>
      </c>
      <c r="F420" s="12">
        <f t="shared" si="6"/>
        <v>59700</v>
      </c>
    </row>
    <row r="421" spans="1:6" x14ac:dyDescent="0.3">
      <c r="A421" s="3" t="s">
        <v>107</v>
      </c>
      <c r="B421" s="3" t="s">
        <v>206</v>
      </c>
      <c r="C421" s="5">
        <v>65000</v>
      </c>
      <c r="D421" s="5">
        <v>1500</v>
      </c>
      <c r="E421" s="5">
        <v>0</v>
      </c>
      <c r="F421" s="12">
        <f t="shared" si="6"/>
        <v>66500</v>
      </c>
    </row>
    <row r="422" spans="1:6" x14ac:dyDescent="0.3">
      <c r="A422" s="3" t="s">
        <v>111</v>
      </c>
      <c r="B422" s="3" t="s">
        <v>206</v>
      </c>
      <c r="C422" s="5">
        <v>52000</v>
      </c>
      <c r="D422" s="5">
        <v>0</v>
      </c>
      <c r="E422" s="5">
        <v>0</v>
      </c>
      <c r="F422" s="12">
        <f t="shared" si="6"/>
        <v>52000</v>
      </c>
    </row>
    <row r="423" spans="1:6" x14ac:dyDescent="0.3">
      <c r="A423" s="3" t="s">
        <v>115</v>
      </c>
      <c r="B423" s="3" t="s">
        <v>206</v>
      </c>
      <c r="C423" s="5">
        <v>35000</v>
      </c>
      <c r="D423" s="5">
        <v>0</v>
      </c>
      <c r="E423" s="5">
        <v>500</v>
      </c>
      <c r="F423" s="12">
        <f t="shared" si="6"/>
        <v>34500</v>
      </c>
    </row>
    <row r="424" spans="1:6" x14ac:dyDescent="0.3">
      <c r="A424" s="3" t="s">
        <v>119</v>
      </c>
      <c r="B424" s="3" t="s">
        <v>206</v>
      </c>
      <c r="C424" s="5">
        <v>35000</v>
      </c>
      <c r="D424" s="5">
        <v>0</v>
      </c>
      <c r="E424" s="5">
        <v>0</v>
      </c>
      <c r="F424" s="12">
        <f t="shared" si="6"/>
        <v>35000</v>
      </c>
    </row>
    <row r="425" spans="1:6" x14ac:dyDescent="0.3">
      <c r="A425" s="3" t="s">
        <v>123</v>
      </c>
      <c r="B425" s="3" t="s">
        <v>206</v>
      </c>
      <c r="C425" s="5">
        <v>35000</v>
      </c>
      <c r="D425" s="5">
        <v>500</v>
      </c>
      <c r="E425" s="5">
        <v>200</v>
      </c>
      <c r="F425" s="12">
        <f t="shared" si="6"/>
        <v>35300</v>
      </c>
    </row>
    <row r="426" spans="1:6" x14ac:dyDescent="0.3">
      <c r="A426" s="3" t="s">
        <v>127</v>
      </c>
      <c r="B426" s="3" t="s">
        <v>206</v>
      </c>
      <c r="C426" s="5">
        <v>56000</v>
      </c>
      <c r="D426" s="5">
        <v>0</v>
      </c>
      <c r="E426" s="5">
        <v>500</v>
      </c>
      <c r="F426" s="12">
        <f t="shared" si="6"/>
        <v>55500</v>
      </c>
    </row>
    <row r="427" spans="1:6" x14ac:dyDescent="0.3">
      <c r="A427" s="3" t="s">
        <v>131</v>
      </c>
      <c r="B427" s="3" t="s">
        <v>206</v>
      </c>
      <c r="C427" s="5">
        <v>32000</v>
      </c>
      <c r="D427" s="5">
        <v>500</v>
      </c>
      <c r="E427" s="5">
        <v>0</v>
      </c>
      <c r="F427" s="12">
        <f t="shared" si="6"/>
        <v>32500</v>
      </c>
    </row>
    <row r="428" spans="1:6" x14ac:dyDescent="0.3">
      <c r="A428" s="3" t="s">
        <v>135</v>
      </c>
      <c r="B428" s="3" t="s">
        <v>206</v>
      </c>
      <c r="C428" s="5">
        <v>48000</v>
      </c>
      <c r="D428" s="5">
        <v>1500</v>
      </c>
      <c r="E428" s="5">
        <v>300</v>
      </c>
      <c r="F428" s="12">
        <f t="shared" si="6"/>
        <v>49200</v>
      </c>
    </row>
    <row r="429" spans="1:6" x14ac:dyDescent="0.3">
      <c r="A429" s="3" t="s">
        <v>139</v>
      </c>
      <c r="B429" s="3" t="s">
        <v>206</v>
      </c>
      <c r="C429" s="5">
        <v>42000</v>
      </c>
      <c r="D429" s="5">
        <v>0</v>
      </c>
      <c r="E429" s="5">
        <v>0</v>
      </c>
      <c r="F429" s="12">
        <f t="shared" si="6"/>
        <v>42000</v>
      </c>
    </row>
    <row r="430" spans="1:6" x14ac:dyDescent="0.3">
      <c r="A430" s="3" t="s">
        <v>143</v>
      </c>
      <c r="B430" s="3" t="s">
        <v>206</v>
      </c>
      <c r="C430" s="5">
        <v>32000</v>
      </c>
      <c r="D430" s="5">
        <v>0</v>
      </c>
      <c r="E430" s="5">
        <v>200</v>
      </c>
      <c r="F430" s="12">
        <f t="shared" si="6"/>
        <v>31800</v>
      </c>
    </row>
    <row r="431" spans="1:6" x14ac:dyDescent="0.3">
      <c r="A431" s="3" t="s">
        <v>147</v>
      </c>
      <c r="B431" s="3" t="s">
        <v>206</v>
      </c>
      <c r="C431" s="5">
        <v>48000</v>
      </c>
      <c r="D431" s="5">
        <v>0</v>
      </c>
      <c r="E431" s="5">
        <v>500</v>
      </c>
      <c r="F431" s="12">
        <f t="shared" si="6"/>
        <v>47500</v>
      </c>
    </row>
    <row r="432" spans="1:6" x14ac:dyDescent="0.3">
      <c r="A432" s="3" t="s">
        <v>151</v>
      </c>
      <c r="B432" s="3" t="s">
        <v>206</v>
      </c>
      <c r="C432" s="5">
        <v>65000</v>
      </c>
      <c r="D432" s="5">
        <v>500</v>
      </c>
      <c r="E432" s="5">
        <v>0</v>
      </c>
      <c r="F432" s="12">
        <f t="shared" si="6"/>
        <v>65500</v>
      </c>
    </row>
    <row r="433" spans="1:6" x14ac:dyDescent="0.3">
      <c r="A433" s="3" t="s">
        <v>155</v>
      </c>
      <c r="B433" s="3" t="s">
        <v>206</v>
      </c>
      <c r="C433" s="5">
        <v>52000</v>
      </c>
      <c r="D433" s="5">
        <v>2000</v>
      </c>
      <c r="E433" s="5">
        <v>300</v>
      </c>
      <c r="F433" s="12">
        <f t="shared" si="6"/>
        <v>53700</v>
      </c>
    </row>
    <row r="434" spans="1:6" x14ac:dyDescent="0.3">
      <c r="A434" s="3" t="s">
        <v>159</v>
      </c>
      <c r="B434" s="3" t="s">
        <v>206</v>
      </c>
      <c r="C434" s="5">
        <v>52000</v>
      </c>
      <c r="D434" s="5">
        <v>1000</v>
      </c>
      <c r="E434" s="5">
        <v>200</v>
      </c>
      <c r="F434" s="12">
        <f t="shared" si="6"/>
        <v>52800</v>
      </c>
    </row>
    <row r="435" spans="1:6" x14ac:dyDescent="0.3">
      <c r="A435" s="3" t="s">
        <v>163</v>
      </c>
      <c r="B435" s="3" t="s">
        <v>206</v>
      </c>
      <c r="C435" s="5">
        <v>65000</v>
      </c>
      <c r="D435" s="5">
        <v>1500</v>
      </c>
      <c r="E435" s="5">
        <v>0</v>
      </c>
      <c r="F435" s="12">
        <f t="shared" si="6"/>
        <v>66500</v>
      </c>
    </row>
    <row r="436" spans="1:6" x14ac:dyDescent="0.3">
      <c r="A436" s="3" t="s">
        <v>39</v>
      </c>
      <c r="B436" s="3" t="s">
        <v>207</v>
      </c>
      <c r="C436" s="5">
        <v>48000</v>
      </c>
      <c r="D436" s="5">
        <v>1000</v>
      </c>
      <c r="E436" s="5">
        <v>300</v>
      </c>
      <c r="F436" s="12">
        <f t="shared" si="6"/>
        <v>48700</v>
      </c>
    </row>
    <row r="437" spans="1:6" x14ac:dyDescent="0.3">
      <c r="A437" s="3" t="s">
        <v>44</v>
      </c>
      <c r="B437" s="3" t="s">
        <v>207</v>
      </c>
      <c r="C437" s="5">
        <v>60000</v>
      </c>
      <c r="D437" s="5">
        <v>2000</v>
      </c>
      <c r="E437" s="5">
        <v>300</v>
      </c>
      <c r="F437" s="12">
        <f t="shared" si="6"/>
        <v>61700</v>
      </c>
    </row>
    <row r="438" spans="1:6" x14ac:dyDescent="0.3">
      <c r="A438" s="3" t="s">
        <v>49</v>
      </c>
      <c r="B438" s="3" t="s">
        <v>207</v>
      </c>
      <c r="C438" s="5">
        <v>65000</v>
      </c>
      <c r="D438" s="5">
        <v>500</v>
      </c>
      <c r="E438" s="5">
        <v>500</v>
      </c>
      <c r="F438" s="12">
        <f t="shared" si="6"/>
        <v>65000</v>
      </c>
    </row>
    <row r="439" spans="1:6" x14ac:dyDescent="0.3">
      <c r="A439" s="3" t="s">
        <v>59</v>
      </c>
      <c r="B439" s="3" t="s">
        <v>207</v>
      </c>
      <c r="C439" s="5">
        <v>35000</v>
      </c>
      <c r="D439" s="5">
        <v>0</v>
      </c>
      <c r="E439" s="5">
        <v>0</v>
      </c>
      <c r="F439" s="12">
        <f t="shared" si="6"/>
        <v>35000</v>
      </c>
    </row>
    <row r="440" spans="1:6" x14ac:dyDescent="0.3">
      <c r="A440" s="3" t="s">
        <v>64</v>
      </c>
      <c r="B440" s="3" t="s">
        <v>207</v>
      </c>
      <c r="C440" s="5">
        <v>65000</v>
      </c>
      <c r="D440" s="5">
        <v>1500</v>
      </c>
      <c r="E440" s="5">
        <v>0</v>
      </c>
      <c r="F440" s="12">
        <f t="shared" si="6"/>
        <v>66500</v>
      </c>
    </row>
    <row r="441" spans="1:6" x14ac:dyDescent="0.3">
      <c r="A441" s="3" t="s">
        <v>69</v>
      </c>
      <c r="B441" s="3" t="s">
        <v>207</v>
      </c>
      <c r="C441" s="5">
        <v>65000</v>
      </c>
      <c r="D441" s="5">
        <v>0</v>
      </c>
      <c r="E441" s="5">
        <v>200</v>
      </c>
      <c r="F441" s="12">
        <f t="shared" si="6"/>
        <v>64800</v>
      </c>
    </row>
    <row r="442" spans="1:6" x14ac:dyDescent="0.3">
      <c r="A442" s="3" t="s">
        <v>74</v>
      </c>
      <c r="B442" s="3" t="s">
        <v>207</v>
      </c>
      <c r="C442" s="5">
        <v>35000</v>
      </c>
      <c r="D442" s="5">
        <v>1000</v>
      </c>
      <c r="E442" s="5">
        <v>200</v>
      </c>
      <c r="F442" s="12">
        <f t="shared" si="6"/>
        <v>35800</v>
      </c>
    </row>
    <row r="443" spans="1:6" x14ac:dyDescent="0.3">
      <c r="A443" s="3" t="s">
        <v>79</v>
      </c>
      <c r="B443" s="3" t="s">
        <v>207</v>
      </c>
      <c r="C443" s="5">
        <v>35000</v>
      </c>
      <c r="D443" s="5">
        <v>1500</v>
      </c>
      <c r="E443" s="5">
        <v>200</v>
      </c>
      <c r="F443" s="12">
        <f t="shared" si="6"/>
        <v>36300</v>
      </c>
    </row>
    <row r="444" spans="1:6" x14ac:dyDescent="0.3">
      <c r="A444" s="3" t="s">
        <v>83</v>
      </c>
      <c r="B444" s="3" t="s">
        <v>207</v>
      </c>
      <c r="C444" s="5">
        <v>56000</v>
      </c>
      <c r="D444" s="5">
        <v>500</v>
      </c>
      <c r="E444" s="5">
        <v>300</v>
      </c>
      <c r="F444" s="12">
        <f t="shared" si="6"/>
        <v>56200</v>
      </c>
    </row>
    <row r="445" spans="1:6" x14ac:dyDescent="0.3">
      <c r="A445" s="3" t="s">
        <v>87</v>
      </c>
      <c r="B445" s="3" t="s">
        <v>207</v>
      </c>
      <c r="C445" s="5">
        <v>45000</v>
      </c>
      <c r="D445" s="5">
        <v>500</v>
      </c>
      <c r="E445" s="5">
        <v>200</v>
      </c>
      <c r="F445" s="12">
        <f t="shared" si="6"/>
        <v>45300</v>
      </c>
    </row>
    <row r="446" spans="1:6" x14ac:dyDescent="0.3">
      <c r="A446" s="3" t="s">
        <v>91</v>
      </c>
      <c r="B446" s="3" t="s">
        <v>207</v>
      </c>
      <c r="C446" s="5">
        <v>65000</v>
      </c>
      <c r="D446" s="5">
        <v>500</v>
      </c>
      <c r="E446" s="5">
        <v>0</v>
      </c>
      <c r="F446" s="12">
        <f t="shared" si="6"/>
        <v>65500</v>
      </c>
    </row>
    <row r="447" spans="1:6" x14ac:dyDescent="0.3">
      <c r="A447" s="3" t="s">
        <v>95</v>
      </c>
      <c r="B447" s="3" t="s">
        <v>207</v>
      </c>
      <c r="C447" s="5">
        <v>52000</v>
      </c>
      <c r="D447" s="5">
        <v>2000</v>
      </c>
      <c r="E447" s="5">
        <v>200</v>
      </c>
      <c r="F447" s="12">
        <f t="shared" si="6"/>
        <v>53800</v>
      </c>
    </row>
    <row r="448" spans="1:6" x14ac:dyDescent="0.3">
      <c r="A448" s="3" t="s">
        <v>99</v>
      </c>
      <c r="B448" s="3" t="s">
        <v>207</v>
      </c>
      <c r="C448" s="5">
        <v>60000</v>
      </c>
      <c r="D448" s="5">
        <v>1500</v>
      </c>
      <c r="E448" s="5">
        <v>0</v>
      </c>
      <c r="F448" s="12">
        <f t="shared" si="6"/>
        <v>61500</v>
      </c>
    </row>
    <row r="449" spans="1:6" x14ac:dyDescent="0.3">
      <c r="A449" s="3" t="s">
        <v>107</v>
      </c>
      <c r="B449" s="3" t="s">
        <v>207</v>
      </c>
      <c r="C449" s="5">
        <v>65000</v>
      </c>
      <c r="D449" s="5">
        <v>500</v>
      </c>
      <c r="E449" s="5">
        <v>200</v>
      </c>
      <c r="F449" s="12">
        <f t="shared" si="6"/>
        <v>65300</v>
      </c>
    </row>
    <row r="450" spans="1:6" x14ac:dyDescent="0.3">
      <c r="A450" s="3" t="s">
        <v>111</v>
      </c>
      <c r="B450" s="3" t="s">
        <v>207</v>
      </c>
      <c r="C450" s="5">
        <v>52000</v>
      </c>
      <c r="D450" s="5">
        <v>0</v>
      </c>
      <c r="E450" s="5">
        <v>0</v>
      </c>
      <c r="F450" s="12">
        <f t="shared" ref="F450:F513" si="7">C450+D450-E450</f>
        <v>52000</v>
      </c>
    </row>
    <row r="451" spans="1:6" x14ac:dyDescent="0.3">
      <c r="A451" s="3" t="s">
        <v>115</v>
      </c>
      <c r="B451" s="3" t="s">
        <v>207</v>
      </c>
      <c r="C451" s="5">
        <v>35000</v>
      </c>
      <c r="D451" s="5">
        <v>0</v>
      </c>
      <c r="E451" s="5">
        <v>0</v>
      </c>
      <c r="F451" s="12">
        <f t="shared" si="7"/>
        <v>35000</v>
      </c>
    </row>
    <row r="452" spans="1:6" x14ac:dyDescent="0.3">
      <c r="A452" s="3" t="s">
        <v>119</v>
      </c>
      <c r="B452" s="3" t="s">
        <v>207</v>
      </c>
      <c r="C452" s="5">
        <v>35000</v>
      </c>
      <c r="D452" s="5">
        <v>2000</v>
      </c>
      <c r="E452" s="5">
        <v>0</v>
      </c>
      <c r="F452" s="12">
        <f t="shared" si="7"/>
        <v>37000</v>
      </c>
    </row>
    <row r="453" spans="1:6" x14ac:dyDescent="0.3">
      <c r="A453" s="3" t="s">
        <v>123</v>
      </c>
      <c r="B453" s="3" t="s">
        <v>207</v>
      </c>
      <c r="C453" s="5">
        <v>35000</v>
      </c>
      <c r="D453" s="5">
        <v>1500</v>
      </c>
      <c r="E453" s="5">
        <v>200</v>
      </c>
      <c r="F453" s="12">
        <f t="shared" si="7"/>
        <v>36300</v>
      </c>
    </row>
    <row r="454" spans="1:6" x14ac:dyDescent="0.3">
      <c r="A454" s="3" t="s">
        <v>127</v>
      </c>
      <c r="B454" s="3" t="s">
        <v>207</v>
      </c>
      <c r="C454" s="5">
        <v>56000</v>
      </c>
      <c r="D454" s="5">
        <v>2000</v>
      </c>
      <c r="E454" s="5">
        <v>0</v>
      </c>
      <c r="F454" s="12">
        <f t="shared" si="7"/>
        <v>58000</v>
      </c>
    </row>
    <row r="455" spans="1:6" x14ac:dyDescent="0.3">
      <c r="A455" s="3" t="s">
        <v>131</v>
      </c>
      <c r="B455" s="3" t="s">
        <v>207</v>
      </c>
      <c r="C455" s="5">
        <v>32000</v>
      </c>
      <c r="D455" s="5">
        <v>0</v>
      </c>
      <c r="E455" s="5">
        <v>200</v>
      </c>
      <c r="F455" s="12">
        <f t="shared" si="7"/>
        <v>31800</v>
      </c>
    </row>
    <row r="456" spans="1:6" x14ac:dyDescent="0.3">
      <c r="A456" s="3" t="s">
        <v>135</v>
      </c>
      <c r="B456" s="3" t="s">
        <v>207</v>
      </c>
      <c r="C456" s="5">
        <v>48000</v>
      </c>
      <c r="D456" s="5">
        <v>0</v>
      </c>
      <c r="E456" s="5">
        <v>0</v>
      </c>
      <c r="F456" s="12">
        <f t="shared" si="7"/>
        <v>48000</v>
      </c>
    </row>
    <row r="457" spans="1:6" x14ac:dyDescent="0.3">
      <c r="A457" s="3" t="s">
        <v>139</v>
      </c>
      <c r="B457" s="3" t="s">
        <v>207</v>
      </c>
      <c r="C457" s="5">
        <v>42000</v>
      </c>
      <c r="D457" s="5">
        <v>0</v>
      </c>
      <c r="E457" s="5">
        <v>200</v>
      </c>
      <c r="F457" s="12">
        <f t="shared" si="7"/>
        <v>41800</v>
      </c>
    </row>
    <row r="458" spans="1:6" x14ac:dyDescent="0.3">
      <c r="A458" s="3" t="s">
        <v>143</v>
      </c>
      <c r="B458" s="3" t="s">
        <v>207</v>
      </c>
      <c r="C458" s="5">
        <v>32000</v>
      </c>
      <c r="D458" s="5">
        <v>500</v>
      </c>
      <c r="E458" s="5">
        <v>0</v>
      </c>
      <c r="F458" s="12">
        <f t="shared" si="7"/>
        <v>32500</v>
      </c>
    </row>
    <row r="459" spans="1:6" x14ac:dyDescent="0.3">
      <c r="A459" s="3" t="s">
        <v>147</v>
      </c>
      <c r="B459" s="3" t="s">
        <v>207</v>
      </c>
      <c r="C459" s="5">
        <v>48000</v>
      </c>
      <c r="D459" s="5">
        <v>1000</v>
      </c>
      <c r="E459" s="5">
        <v>0</v>
      </c>
      <c r="F459" s="12">
        <f t="shared" si="7"/>
        <v>49000</v>
      </c>
    </row>
    <row r="460" spans="1:6" x14ac:dyDescent="0.3">
      <c r="A460" s="3" t="s">
        <v>151</v>
      </c>
      <c r="B460" s="3" t="s">
        <v>207</v>
      </c>
      <c r="C460" s="5">
        <v>65000</v>
      </c>
      <c r="D460" s="5">
        <v>0</v>
      </c>
      <c r="E460" s="5">
        <v>300</v>
      </c>
      <c r="F460" s="12">
        <f t="shared" si="7"/>
        <v>64700</v>
      </c>
    </row>
    <row r="461" spans="1:6" x14ac:dyDescent="0.3">
      <c r="A461" s="3" t="s">
        <v>155</v>
      </c>
      <c r="B461" s="3" t="s">
        <v>207</v>
      </c>
      <c r="C461" s="5">
        <v>52000</v>
      </c>
      <c r="D461" s="5">
        <v>1500</v>
      </c>
      <c r="E461" s="5">
        <v>0</v>
      </c>
      <c r="F461" s="12">
        <f t="shared" si="7"/>
        <v>53500</v>
      </c>
    </row>
    <row r="462" spans="1:6" x14ac:dyDescent="0.3">
      <c r="A462" s="3" t="s">
        <v>159</v>
      </c>
      <c r="B462" s="3" t="s">
        <v>207</v>
      </c>
      <c r="C462" s="5">
        <v>52000</v>
      </c>
      <c r="D462" s="5">
        <v>1000</v>
      </c>
      <c r="E462" s="5">
        <v>0</v>
      </c>
      <c r="F462" s="12">
        <f t="shared" si="7"/>
        <v>53000</v>
      </c>
    </row>
    <row r="463" spans="1:6" x14ac:dyDescent="0.3">
      <c r="A463" s="3" t="s">
        <v>163</v>
      </c>
      <c r="B463" s="3" t="s">
        <v>207</v>
      </c>
      <c r="C463" s="5">
        <v>65000</v>
      </c>
      <c r="D463" s="5">
        <v>500</v>
      </c>
      <c r="E463" s="5">
        <v>500</v>
      </c>
      <c r="F463" s="12">
        <f t="shared" si="7"/>
        <v>65000</v>
      </c>
    </row>
    <row r="464" spans="1:6" x14ac:dyDescent="0.3">
      <c r="A464" s="3" t="s">
        <v>39</v>
      </c>
      <c r="B464" s="3" t="s">
        <v>208</v>
      </c>
      <c r="C464" s="5">
        <v>48000</v>
      </c>
      <c r="D464" s="5">
        <v>0</v>
      </c>
      <c r="E464" s="5">
        <v>0</v>
      </c>
      <c r="F464" s="12">
        <f t="shared" si="7"/>
        <v>48000</v>
      </c>
    </row>
    <row r="465" spans="1:6" x14ac:dyDescent="0.3">
      <c r="A465" s="3" t="s">
        <v>44</v>
      </c>
      <c r="B465" s="3" t="s">
        <v>208</v>
      </c>
      <c r="C465" s="5">
        <v>60000</v>
      </c>
      <c r="D465" s="5">
        <v>0</v>
      </c>
      <c r="E465" s="5">
        <v>200</v>
      </c>
      <c r="F465" s="12">
        <f t="shared" si="7"/>
        <v>59800</v>
      </c>
    </row>
    <row r="466" spans="1:6" x14ac:dyDescent="0.3">
      <c r="A466" s="3" t="s">
        <v>49</v>
      </c>
      <c r="B466" s="3" t="s">
        <v>208</v>
      </c>
      <c r="C466" s="5">
        <v>65000</v>
      </c>
      <c r="D466" s="5">
        <v>0</v>
      </c>
      <c r="E466" s="5">
        <v>500</v>
      </c>
      <c r="F466" s="12">
        <f t="shared" si="7"/>
        <v>64500</v>
      </c>
    </row>
    <row r="467" spans="1:6" x14ac:dyDescent="0.3">
      <c r="A467" s="3" t="s">
        <v>59</v>
      </c>
      <c r="B467" s="3" t="s">
        <v>208</v>
      </c>
      <c r="C467" s="5">
        <v>35000</v>
      </c>
      <c r="D467" s="5">
        <v>0</v>
      </c>
      <c r="E467" s="5">
        <v>500</v>
      </c>
      <c r="F467" s="12">
        <f t="shared" si="7"/>
        <v>34500</v>
      </c>
    </row>
    <row r="468" spans="1:6" x14ac:dyDescent="0.3">
      <c r="A468" s="3" t="s">
        <v>64</v>
      </c>
      <c r="B468" s="3" t="s">
        <v>208</v>
      </c>
      <c r="C468" s="5">
        <v>65000</v>
      </c>
      <c r="D468" s="5">
        <v>500</v>
      </c>
      <c r="E468" s="5">
        <v>300</v>
      </c>
      <c r="F468" s="12">
        <f t="shared" si="7"/>
        <v>65200</v>
      </c>
    </row>
    <row r="469" spans="1:6" x14ac:dyDescent="0.3">
      <c r="A469" s="3" t="s">
        <v>69</v>
      </c>
      <c r="B469" s="3" t="s">
        <v>208</v>
      </c>
      <c r="C469" s="5">
        <v>65000</v>
      </c>
      <c r="D469" s="5">
        <v>1000</v>
      </c>
      <c r="E469" s="5">
        <v>0</v>
      </c>
      <c r="F469" s="12">
        <f t="shared" si="7"/>
        <v>66000</v>
      </c>
    </row>
    <row r="470" spans="1:6" x14ac:dyDescent="0.3">
      <c r="A470" s="3" t="s">
        <v>74</v>
      </c>
      <c r="B470" s="3" t="s">
        <v>208</v>
      </c>
      <c r="C470" s="5">
        <v>35000</v>
      </c>
      <c r="D470" s="5">
        <v>1000</v>
      </c>
      <c r="E470" s="5">
        <v>300</v>
      </c>
      <c r="F470" s="12">
        <f t="shared" si="7"/>
        <v>35700</v>
      </c>
    </row>
    <row r="471" spans="1:6" x14ac:dyDescent="0.3">
      <c r="A471" s="3" t="s">
        <v>79</v>
      </c>
      <c r="B471" s="3" t="s">
        <v>208</v>
      </c>
      <c r="C471" s="5">
        <v>35000</v>
      </c>
      <c r="D471" s="5">
        <v>2000</v>
      </c>
      <c r="E471" s="5">
        <v>0</v>
      </c>
      <c r="F471" s="12">
        <f t="shared" si="7"/>
        <v>37000</v>
      </c>
    </row>
    <row r="472" spans="1:6" x14ac:dyDescent="0.3">
      <c r="A472" s="3" t="s">
        <v>83</v>
      </c>
      <c r="B472" s="3" t="s">
        <v>208</v>
      </c>
      <c r="C472" s="5">
        <v>56000</v>
      </c>
      <c r="D472" s="5">
        <v>500</v>
      </c>
      <c r="E472" s="5">
        <v>0</v>
      </c>
      <c r="F472" s="12">
        <f t="shared" si="7"/>
        <v>56500</v>
      </c>
    </row>
    <row r="473" spans="1:6" x14ac:dyDescent="0.3">
      <c r="A473" s="3" t="s">
        <v>87</v>
      </c>
      <c r="B473" s="3" t="s">
        <v>208</v>
      </c>
      <c r="C473" s="5">
        <v>45000</v>
      </c>
      <c r="D473" s="5">
        <v>2000</v>
      </c>
      <c r="E473" s="5">
        <v>300</v>
      </c>
      <c r="F473" s="12">
        <f t="shared" si="7"/>
        <v>46700</v>
      </c>
    </row>
    <row r="474" spans="1:6" x14ac:dyDescent="0.3">
      <c r="A474" s="3" t="s">
        <v>91</v>
      </c>
      <c r="B474" s="3" t="s">
        <v>208</v>
      </c>
      <c r="C474" s="5">
        <v>65000</v>
      </c>
      <c r="D474" s="5">
        <v>500</v>
      </c>
      <c r="E474" s="5">
        <v>0</v>
      </c>
      <c r="F474" s="12">
        <f t="shared" si="7"/>
        <v>65500</v>
      </c>
    </row>
    <row r="475" spans="1:6" x14ac:dyDescent="0.3">
      <c r="A475" s="3" t="s">
        <v>95</v>
      </c>
      <c r="B475" s="3" t="s">
        <v>208</v>
      </c>
      <c r="C475" s="5">
        <v>52000</v>
      </c>
      <c r="D475" s="5">
        <v>500</v>
      </c>
      <c r="E475" s="5">
        <v>500</v>
      </c>
      <c r="F475" s="12">
        <f t="shared" si="7"/>
        <v>52000</v>
      </c>
    </row>
    <row r="476" spans="1:6" x14ac:dyDescent="0.3">
      <c r="A476" s="3" t="s">
        <v>99</v>
      </c>
      <c r="B476" s="3" t="s">
        <v>208</v>
      </c>
      <c r="C476" s="5">
        <v>60000</v>
      </c>
      <c r="D476" s="5">
        <v>0</v>
      </c>
      <c r="E476" s="5">
        <v>0</v>
      </c>
      <c r="F476" s="12">
        <f t="shared" si="7"/>
        <v>60000</v>
      </c>
    </row>
    <row r="477" spans="1:6" x14ac:dyDescent="0.3">
      <c r="A477" s="3" t="s">
        <v>107</v>
      </c>
      <c r="B477" s="3" t="s">
        <v>208</v>
      </c>
      <c r="C477" s="5">
        <v>65000</v>
      </c>
      <c r="D477" s="5">
        <v>2000</v>
      </c>
      <c r="E477" s="5">
        <v>300</v>
      </c>
      <c r="F477" s="12">
        <f t="shared" si="7"/>
        <v>66700</v>
      </c>
    </row>
    <row r="478" spans="1:6" x14ac:dyDescent="0.3">
      <c r="A478" s="3" t="s">
        <v>111</v>
      </c>
      <c r="B478" s="3" t="s">
        <v>208</v>
      </c>
      <c r="C478" s="5">
        <v>52000</v>
      </c>
      <c r="D478" s="5">
        <v>2000</v>
      </c>
      <c r="E478" s="5">
        <v>0</v>
      </c>
      <c r="F478" s="12">
        <f t="shared" si="7"/>
        <v>54000</v>
      </c>
    </row>
    <row r="479" spans="1:6" x14ac:dyDescent="0.3">
      <c r="A479" s="3" t="s">
        <v>115</v>
      </c>
      <c r="B479" s="3" t="s">
        <v>208</v>
      </c>
      <c r="C479" s="5">
        <v>35000</v>
      </c>
      <c r="D479" s="5">
        <v>0</v>
      </c>
      <c r="E479" s="5">
        <v>500</v>
      </c>
      <c r="F479" s="12">
        <f t="shared" si="7"/>
        <v>34500</v>
      </c>
    </row>
    <row r="480" spans="1:6" x14ac:dyDescent="0.3">
      <c r="A480" s="3" t="s">
        <v>119</v>
      </c>
      <c r="B480" s="3" t="s">
        <v>208</v>
      </c>
      <c r="C480" s="5">
        <v>35000</v>
      </c>
      <c r="D480" s="5">
        <v>1500</v>
      </c>
      <c r="E480" s="5">
        <v>200</v>
      </c>
      <c r="F480" s="12">
        <f t="shared" si="7"/>
        <v>36300</v>
      </c>
    </row>
    <row r="481" spans="1:6" x14ac:dyDescent="0.3">
      <c r="A481" s="3" t="s">
        <v>123</v>
      </c>
      <c r="B481" s="3" t="s">
        <v>208</v>
      </c>
      <c r="C481" s="5">
        <v>35000</v>
      </c>
      <c r="D481" s="5">
        <v>1000</v>
      </c>
      <c r="E481" s="5">
        <v>300</v>
      </c>
      <c r="F481" s="12">
        <f t="shared" si="7"/>
        <v>35700</v>
      </c>
    </row>
    <row r="482" spans="1:6" x14ac:dyDescent="0.3">
      <c r="A482" s="3" t="s">
        <v>127</v>
      </c>
      <c r="B482" s="3" t="s">
        <v>208</v>
      </c>
      <c r="C482" s="5">
        <v>56000</v>
      </c>
      <c r="D482" s="5">
        <v>1500</v>
      </c>
      <c r="E482" s="5">
        <v>500</v>
      </c>
      <c r="F482" s="12">
        <f t="shared" si="7"/>
        <v>57000</v>
      </c>
    </row>
    <row r="483" spans="1:6" x14ac:dyDescent="0.3">
      <c r="A483" s="3" t="s">
        <v>131</v>
      </c>
      <c r="B483" s="3" t="s">
        <v>208</v>
      </c>
      <c r="C483" s="5">
        <v>32000</v>
      </c>
      <c r="D483" s="5">
        <v>0</v>
      </c>
      <c r="E483" s="5">
        <v>0</v>
      </c>
      <c r="F483" s="12">
        <f t="shared" si="7"/>
        <v>32000</v>
      </c>
    </row>
    <row r="484" spans="1:6" x14ac:dyDescent="0.3">
      <c r="A484" s="3" t="s">
        <v>135</v>
      </c>
      <c r="B484" s="3" t="s">
        <v>208</v>
      </c>
      <c r="C484" s="5">
        <v>48000</v>
      </c>
      <c r="D484" s="5">
        <v>2000</v>
      </c>
      <c r="E484" s="5">
        <v>300</v>
      </c>
      <c r="F484" s="12">
        <f t="shared" si="7"/>
        <v>49700</v>
      </c>
    </row>
    <row r="485" spans="1:6" x14ac:dyDescent="0.3">
      <c r="A485" s="3" t="s">
        <v>139</v>
      </c>
      <c r="B485" s="3" t="s">
        <v>208</v>
      </c>
      <c r="C485" s="5">
        <v>42000</v>
      </c>
      <c r="D485" s="5">
        <v>1000</v>
      </c>
      <c r="E485" s="5">
        <v>300</v>
      </c>
      <c r="F485" s="12">
        <f t="shared" si="7"/>
        <v>42700</v>
      </c>
    </row>
    <row r="486" spans="1:6" x14ac:dyDescent="0.3">
      <c r="A486" s="3" t="s">
        <v>143</v>
      </c>
      <c r="B486" s="3" t="s">
        <v>208</v>
      </c>
      <c r="C486" s="5">
        <v>32000</v>
      </c>
      <c r="D486" s="5">
        <v>1000</v>
      </c>
      <c r="E486" s="5">
        <v>300</v>
      </c>
      <c r="F486" s="12">
        <f t="shared" si="7"/>
        <v>32700</v>
      </c>
    </row>
    <row r="487" spans="1:6" x14ac:dyDescent="0.3">
      <c r="A487" s="3" t="s">
        <v>147</v>
      </c>
      <c r="B487" s="3" t="s">
        <v>208</v>
      </c>
      <c r="C487" s="5">
        <v>48000</v>
      </c>
      <c r="D487" s="5">
        <v>1500</v>
      </c>
      <c r="E487" s="5">
        <v>0</v>
      </c>
      <c r="F487" s="12">
        <f t="shared" si="7"/>
        <v>49500</v>
      </c>
    </row>
    <row r="488" spans="1:6" x14ac:dyDescent="0.3">
      <c r="A488" s="3" t="s">
        <v>151</v>
      </c>
      <c r="B488" s="3" t="s">
        <v>208</v>
      </c>
      <c r="C488" s="5">
        <v>65000</v>
      </c>
      <c r="D488" s="5">
        <v>1000</v>
      </c>
      <c r="E488" s="5">
        <v>500</v>
      </c>
      <c r="F488" s="12">
        <f t="shared" si="7"/>
        <v>65500</v>
      </c>
    </row>
    <row r="489" spans="1:6" x14ac:dyDescent="0.3">
      <c r="A489" s="3" t="s">
        <v>155</v>
      </c>
      <c r="B489" s="3" t="s">
        <v>208</v>
      </c>
      <c r="C489" s="5">
        <v>52000</v>
      </c>
      <c r="D489" s="5">
        <v>1500</v>
      </c>
      <c r="E489" s="5">
        <v>500</v>
      </c>
      <c r="F489" s="12">
        <f t="shared" si="7"/>
        <v>53000</v>
      </c>
    </row>
    <row r="490" spans="1:6" x14ac:dyDescent="0.3">
      <c r="A490" s="3" t="s">
        <v>159</v>
      </c>
      <c r="B490" s="3" t="s">
        <v>208</v>
      </c>
      <c r="C490" s="5">
        <v>52000</v>
      </c>
      <c r="D490" s="5">
        <v>0</v>
      </c>
      <c r="E490" s="5">
        <v>500</v>
      </c>
      <c r="F490" s="12">
        <f t="shared" si="7"/>
        <v>51500</v>
      </c>
    </row>
    <row r="491" spans="1:6" x14ac:dyDescent="0.3">
      <c r="A491" s="3" t="s">
        <v>163</v>
      </c>
      <c r="B491" s="3" t="s">
        <v>208</v>
      </c>
      <c r="C491" s="5">
        <v>65000</v>
      </c>
      <c r="D491" s="5">
        <v>0</v>
      </c>
      <c r="E491" s="5">
        <v>500</v>
      </c>
      <c r="F491" s="12">
        <f t="shared" si="7"/>
        <v>64500</v>
      </c>
    </row>
    <row r="492" spans="1:6" x14ac:dyDescent="0.3">
      <c r="A492" s="3" t="s">
        <v>39</v>
      </c>
      <c r="B492" s="3" t="s">
        <v>209</v>
      </c>
      <c r="C492" s="5">
        <v>48000</v>
      </c>
      <c r="D492" s="5">
        <v>2000</v>
      </c>
      <c r="E492" s="5">
        <v>300</v>
      </c>
      <c r="F492" s="12">
        <f t="shared" si="7"/>
        <v>49700</v>
      </c>
    </row>
    <row r="493" spans="1:6" x14ac:dyDescent="0.3">
      <c r="A493" s="3" t="s">
        <v>44</v>
      </c>
      <c r="B493" s="3" t="s">
        <v>209</v>
      </c>
      <c r="C493" s="5">
        <v>60000</v>
      </c>
      <c r="D493" s="5">
        <v>1000</v>
      </c>
      <c r="E493" s="5">
        <v>200</v>
      </c>
      <c r="F493" s="12">
        <f t="shared" si="7"/>
        <v>60800</v>
      </c>
    </row>
    <row r="494" spans="1:6" x14ac:dyDescent="0.3">
      <c r="A494" s="3" t="s">
        <v>49</v>
      </c>
      <c r="B494" s="3" t="s">
        <v>209</v>
      </c>
      <c r="C494" s="5">
        <v>65000</v>
      </c>
      <c r="D494" s="5">
        <v>1500</v>
      </c>
      <c r="E494" s="5">
        <v>0</v>
      </c>
      <c r="F494" s="12">
        <f t="shared" si="7"/>
        <v>66500</v>
      </c>
    </row>
    <row r="495" spans="1:6" x14ac:dyDescent="0.3">
      <c r="A495" s="3" t="s">
        <v>59</v>
      </c>
      <c r="B495" s="3" t="s">
        <v>209</v>
      </c>
      <c r="C495" s="5">
        <v>35000</v>
      </c>
      <c r="D495" s="5">
        <v>1500</v>
      </c>
      <c r="E495" s="5">
        <v>0</v>
      </c>
      <c r="F495" s="12">
        <f t="shared" si="7"/>
        <v>36500</v>
      </c>
    </row>
    <row r="496" spans="1:6" x14ac:dyDescent="0.3">
      <c r="A496" s="3" t="s">
        <v>64</v>
      </c>
      <c r="B496" s="3" t="s">
        <v>209</v>
      </c>
      <c r="C496" s="5">
        <v>65000</v>
      </c>
      <c r="D496" s="5">
        <v>500</v>
      </c>
      <c r="E496" s="5">
        <v>0</v>
      </c>
      <c r="F496" s="12">
        <f t="shared" si="7"/>
        <v>65500</v>
      </c>
    </row>
    <row r="497" spans="1:6" x14ac:dyDescent="0.3">
      <c r="A497" s="3" t="s">
        <v>69</v>
      </c>
      <c r="B497" s="3" t="s">
        <v>209</v>
      </c>
      <c r="C497" s="5">
        <v>65000</v>
      </c>
      <c r="D497" s="5">
        <v>1500</v>
      </c>
      <c r="E497" s="5">
        <v>300</v>
      </c>
      <c r="F497" s="12">
        <f t="shared" si="7"/>
        <v>66200</v>
      </c>
    </row>
    <row r="498" spans="1:6" x14ac:dyDescent="0.3">
      <c r="A498" s="3" t="s">
        <v>74</v>
      </c>
      <c r="B498" s="3" t="s">
        <v>209</v>
      </c>
      <c r="C498" s="5">
        <v>35000</v>
      </c>
      <c r="D498" s="5">
        <v>500</v>
      </c>
      <c r="E498" s="5">
        <v>200</v>
      </c>
      <c r="F498" s="12">
        <f t="shared" si="7"/>
        <v>35300</v>
      </c>
    </row>
    <row r="499" spans="1:6" x14ac:dyDescent="0.3">
      <c r="A499" s="3" t="s">
        <v>79</v>
      </c>
      <c r="B499" s="3" t="s">
        <v>209</v>
      </c>
      <c r="C499" s="5">
        <v>35000</v>
      </c>
      <c r="D499" s="5">
        <v>2000</v>
      </c>
      <c r="E499" s="5">
        <v>500</v>
      </c>
      <c r="F499" s="12">
        <f t="shared" si="7"/>
        <v>36500</v>
      </c>
    </row>
    <row r="500" spans="1:6" x14ac:dyDescent="0.3">
      <c r="A500" s="3" t="s">
        <v>83</v>
      </c>
      <c r="B500" s="3" t="s">
        <v>209</v>
      </c>
      <c r="C500" s="5">
        <v>56000</v>
      </c>
      <c r="D500" s="5">
        <v>500</v>
      </c>
      <c r="E500" s="5">
        <v>0</v>
      </c>
      <c r="F500" s="12">
        <f t="shared" si="7"/>
        <v>56500</v>
      </c>
    </row>
    <row r="501" spans="1:6" x14ac:dyDescent="0.3">
      <c r="A501" s="3" t="s">
        <v>87</v>
      </c>
      <c r="B501" s="3" t="s">
        <v>209</v>
      </c>
      <c r="C501" s="5">
        <v>45000</v>
      </c>
      <c r="D501" s="5">
        <v>2000</v>
      </c>
      <c r="E501" s="5">
        <v>300</v>
      </c>
      <c r="F501" s="12">
        <f t="shared" si="7"/>
        <v>46700</v>
      </c>
    </row>
    <row r="502" spans="1:6" x14ac:dyDescent="0.3">
      <c r="A502" s="3" t="s">
        <v>91</v>
      </c>
      <c r="B502" s="3" t="s">
        <v>209</v>
      </c>
      <c r="C502" s="5">
        <v>65000</v>
      </c>
      <c r="D502" s="5">
        <v>1500</v>
      </c>
      <c r="E502" s="5">
        <v>300</v>
      </c>
      <c r="F502" s="12">
        <f t="shared" si="7"/>
        <v>66200</v>
      </c>
    </row>
    <row r="503" spans="1:6" x14ac:dyDescent="0.3">
      <c r="A503" s="3" t="s">
        <v>95</v>
      </c>
      <c r="B503" s="3" t="s">
        <v>209</v>
      </c>
      <c r="C503" s="5">
        <v>52000</v>
      </c>
      <c r="D503" s="5">
        <v>0</v>
      </c>
      <c r="E503" s="5">
        <v>0</v>
      </c>
      <c r="F503" s="12">
        <f t="shared" si="7"/>
        <v>52000</v>
      </c>
    </row>
    <row r="504" spans="1:6" x14ac:dyDescent="0.3">
      <c r="A504" s="3" t="s">
        <v>99</v>
      </c>
      <c r="B504" s="3" t="s">
        <v>209</v>
      </c>
      <c r="C504" s="5">
        <v>60000</v>
      </c>
      <c r="D504" s="5">
        <v>1000</v>
      </c>
      <c r="E504" s="5">
        <v>0</v>
      </c>
      <c r="F504" s="12">
        <f t="shared" si="7"/>
        <v>61000</v>
      </c>
    </row>
    <row r="505" spans="1:6" x14ac:dyDescent="0.3">
      <c r="A505" s="3" t="s">
        <v>107</v>
      </c>
      <c r="B505" s="3" t="s">
        <v>209</v>
      </c>
      <c r="C505" s="5">
        <v>65000</v>
      </c>
      <c r="D505" s="5">
        <v>0</v>
      </c>
      <c r="E505" s="5">
        <v>0</v>
      </c>
      <c r="F505" s="12">
        <f t="shared" si="7"/>
        <v>65000</v>
      </c>
    </row>
    <row r="506" spans="1:6" x14ac:dyDescent="0.3">
      <c r="A506" s="3" t="s">
        <v>111</v>
      </c>
      <c r="B506" s="3" t="s">
        <v>209</v>
      </c>
      <c r="C506" s="5">
        <v>52000</v>
      </c>
      <c r="D506" s="5">
        <v>2000</v>
      </c>
      <c r="E506" s="5">
        <v>0</v>
      </c>
      <c r="F506" s="12">
        <f t="shared" si="7"/>
        <v>54000</v>
      </c>
    </row>
    <row r="507" spans="1:6" x14ac:dyDescent="0.3">
      <c r="A507" s="3" t="s">
        <v>115</v>
      </c>
      <c r="B507" s="3" t="s">
        <v>209</v>
      </c>
      <c r="C507" s="5">
        <v>35000</v>
      </c>
      <c r="D507" s="5">
        <v>0</v>
      </c>
      <c r="E507" s="5">
        <v>0</v>
      </c>
      <c r="F507" s="12">
        <f t="shared" si="7"/>
        <v>35000</v>
      </c>
    </row>
    <row r="508" spans="1:6" x14ac:dyDescent="0.3">
      <c r="A508" s="3" t="s">
        <v>119</v>
      </c>
      <c r="B508" s="3" t="s">
        <v>209</v>
      </c>
      <c r="C508" s="5">
        <v>35000</v>
      </c>
      <c r="D508" s="5">
        <v>1500</v>
      </c>
      <c r="E508" s="5">
        <v>200</v>
      </c>
      <c r="F508" s="12">
        <f t="shared" si="7"/>
        <v>36300</v>
      </c>
    </row>
    <row r="509" spans="1:6" x14ac:dyDescent="0.3">
      <c r="A509" s="3" t="s">
        <v>123</v>
      </c>
      <c r="B509" s="3" t="s">
        <v>209</v>
      </c>
      <c r="C509" s="5">
        <v>35000</v>
      </c>
      <c r="D509" s="5">
        <v>500</v>
      </c>
      <c r="E509" s="5">
        <v>0</v>
      </c>
      <c r="F509" s="12">
        <f t="shared" si="7"/>
        <v>35500</v>
      </c>
    </row>
    <row r="510" spans="1:6" x14ac:dyDescent="0.3">
      <c r="A510" s="3" t="s">
        <v>127</v>
      </c>
      <c r="B510" s="3" t="s">
        <v>209</v>
      </c>
      <c r="C510" s="5">
        <v>56000</v>
      </c>
      <c r="D510" s="5">
        <v>0</v>
      </c>
      <c r="E510" s="5">
        <v>0</v>
      </c>
      <c r="F510" s="12">
        <f t="shared" si="7"/>
        <v>56000</v>
      </c>
    </row>
    <row r="511" spans="1:6" x14ac:dyDescent="0.3">
      <c r="A511" s="3" t="s">
        <v>131</v>
      </c>
      <c r="B511" s="3" t="s">
        <v>209</v>
      </c>
      <c r="C511" s="5">
        <v>32000</v>
      </c>
      <c r="D511" s="5">
        <v>2000</v>
      </c>
      <c r="E511" s="5">
        <v>200</v>
      </c>
      <c r="F511" s="12">
        <f t="shared" si="7"/>
        <v>33800</v>
      </c>
    </row>
    <row r="512" spans="1:6" x14ac:dyDescent="0.3">
      <c r="A512" s="3" t="s">
        <v>135</v>
      </c>
      <c r="B512" s="3" t="s">
        <v>209</v>
      </c>
      <c r="C512" s="5">
        <v>48000</v>
      </c>
      <c r="D512" s="5">
        <v>500</v>
      </c>
      <c r="E512" s="5">
        <v>500</v>
      </c>
      <c r="F512" s="12">
        <f t="shared" si="7"/>
        <v>48000</v>
      </c>
    </row>
    <row r="513" spans="1:6" x14ac:dyDescent="0.3">
      <c r="A513" s="3" t="s">
        <v>139</v>
      </c>
      <c r="B513" s="3" t="s">
        <v>209</v>
      </c>
      <c r="C513" s="5">
        <v>42000</v>
      </c>
      <c r="D513" s="5">
        <v>500</v>
      </c>
      <c r="E513" s="5">
        <v>300</v>
      </c>
      <c r="F513" s="12">
        <f t="shared" si="7"/>
        <v>42200</v>
      </c>
    </row>
    <row r="514" spans="1:6" x14ac:dyDescent="0.3">
      <c r="A514" s="3" t="s">
        <v>143</v>
      </c>
      <c r="B514" s="3" t="s">
        <v>209</v>
      </c>
      <c r="C514" s="5">
        <v>32000</v>
      </c>
      <c r="D514" s="5">
        <v>0</v>
      </c>
      <c r="E514" s="5">
        <v>500</v>
      </c>
      <c r="F514" s="12">
        <f t="shared" ref="F514:F577" si="8">C514+D514-E514</f>
        <v>31500</v>
      </c>
    </row>
    <row r="515" spans="1:6" x14ac:dyDescent="0.3">
      <c r="A515" s="3" t="s">
        <v>147</v>
      </c>
      <c r="B515" s="3" t="s">
        <v>209</v>
      </c>
      <c r="C515" s="5">
        <v>48000</v>
      </c>
      <c r="D515" s="5">
        <v>0</v>
      </c>
      <c r="E515" s="5">
        <v>300</v>
      </c>
      <c r="F515" s="12">
        <f t="shared" si="8"/>
        <v>47700</v>
      </c>
    </row>
    <row r="516" spans="1:6" x14ac:dyDescent="0.3">
      <c r="A516" s="3" t="s">
        <v>151</v>
      </c>
      <c r="B516" s="3" t="s">
        <v>209</v>
      </c>
      <c r="C516" s="5">
        <v>65000</v>
      </c>
      <c r="D516" s="5">
        <v>0</v>
      </c>
      <c r="E516" s="5">
        <v>300</v>
      </c>
      <c r="F516" s="12">
        <f t="shared" si="8"/>
        <v>64700</v>
      </c>
    </row>
    <row r="517" spans="1:6" x14ac:dyDescent="0.3">
      <c r="A517" s="3" t="s">
        <v>155</v>
      </c>
      <c r="B517" s="3" t="s">
        <v>209</v>
      </c>
      <c r="C517" s="5">
        <v>52000</v>
      </c>
      <c r="D517" s="5">
        <v>500</v>
      </c>
      <c r="E517" s="5">
        <v>0</v>
      </c>
      <c r="F517" s="12">
        <f t="shared" si="8"/>
        <v>52500</v>
      </c>
    </row>
    <row r="518" spans="1:6" x14ac:dyDescent="0.3">
      <c r="A518" s="3" t="s">
        <v>159</v>
      </c>
      <c r="B518" s="3" t="s">
        <v>209</v>
      </c>
      <c r="C518" s="5">
        <v>52000</v>
      </c>
      <c r="D518" s="5">
        <v>0</v>
      </c>
      <c r="E518" s="5">
        <v>0</v>
      </c>
      <c r="F518" s="12">
        <f t="shared" si="8"/>
        <v>52000</v>
      </c>
    </row>
    <row r="519" spans="1:6" x14ac:dyDescent="0.3">
      <c r="A519" s="3" t="s">
        <v>163</v>
      </c>
      <c r="B519" s="3" t="s">
        <v>209</v>
      </c>
      <c r="C519" s="5">
        <v>65000</v>
      </c>
      <c r="D519" s="5">
        <v>1500</v>
      </c>
      <c r="E519" s="5">
        <v>300</v>
      </c>
      <c r="F519" s="12">
        <f t="shared" si="8"/>
        <v>66200</v>
      </c>
    </row>
    <row r="520" spans="1:6" x14ac:dyDescent="0.3">
      <c r="A520" s="3" t="s">
        <v>39</v>
      </c>
      <c r="B520" s="3" t="s">
        <v>210</v>
      </c>
      <c r="C520" s="5">
        <v>48000</v>
      </c>
      <c r="D520" s="5">
        <v>1000</v>
      </c>
      <c r="E520" s="5">
        <v>0</v>
      </c>
      <c r="F520" s="12">
        <f t="shared" si="8"/>
        <v>49000</v>
      </c>
    </row>
    <row r="521" spans="1:6" x14ac:dyDescent="0.3">
      <c r="A521" s="3" t="s">
        <v>44</v>
      </c>
      <c r="B521" s="3" t="s">
        <v>210</v>
      </c>
      <c r="C521" s="5">
        <v>60000</v>
      </c>
      <c r="D521" s="5">
        <v>0</v>
      </c>
      <c r="E521" s="5">
        <v>300</v>
      </c>
      <c r="F521" s="12">
        <f t="shared" si="8"/>
        <v>59700</v>
      </c>
    </row>
    <row r="522" spans="1:6" x14ac:dyDescent="0.3">
      <c r="A522" s="3" t="s">
        <v>49</v>
      </c>
      <c r="B522" s="3" t="s">
        <v>210</v>
      </c>
      <c r="C522" s="5">
        <v>65000</v>
      </c>
      <c r="D522" s="5">
        <v>0</v>
      </c>
      <c r="E522" s="5">
        <v>500</v>
      </c>
      <c r="F522" s="12">
        <f t="shared" si="8"/>
        <v>64500</v>
      </c>
    </row>
    <row r="523" spans="1:6" x14ac:dyDescent="0.3">
      <c r="A523" s="3" t="s">
        <v>59</v>
      </c>
      <c r="B523" s="3" t="s">
        <v>210</v>
      </c>
      <c r="C523" s="5">
        <v>35000</v>
      </c>
      <c r="D523" s="5">
        <v>0</v>
      </c>
      <c r="E523" s="5">
        <v>0</v>
      </c>
      <c r="F523" s="12">
        <f t="shared" si="8"/>
        <v>35000</v>
      </c>
    </row>
    <row r="524" spans="1:6" x14ac:dyDescent="0.3">
      <c r="A524" s="3" t="s">
        <v>64</v>
      </c>
      <c r="B524" s="3" t="s">
        <v>210</v>
      </c>
      <c r="C524" s="5">
        <v>65000</v>
      </c>
      <c r="D524" s="5">
        <v>500</v>
      </c>
      <c r="E524" s="5">
        <v>0</v>
      </c>
      <c r="F524" s="12">
        <f t="shared" si="8"/>
        <v>65500</v>
      </c>
    </row>
    <row r="525" spans="1:6" x14ac:dyDescent="0.3">
      <c r="A525" s="3" t="s">
        <v>69</v>
      </c>
      <c r="B525" s="3" t="s">
        <v>210</v>
      </c>
      <c r="C525" s="5">
        <v>65000</v>
      </c>
      <c r="D525" s="5">
        <v>0</v>
      </c>
      <c r="E525" s="5">
        <v>200</v>
      </c>
      <c r="F525" s="12">
        <f t="shared" si="8"/>
        <v>64800</v>
      </c>
    </row>
    <row r="526" spans="1:6" x14ac:dyDescent="0.3">
      <c r="A526" s="3" t="s">
        <v>74</v>
      </c>
      <c r="B526" s="3" t="s">
        <v>210</v>
      </c>
      <c r="C526" s="5">
        <v>35000</v>
      </c>
      <c r="D526" s="5">
        <v>0</v>
      </c>
      <c r="E526" s="5">
        <v>200</v>
      </c>
      <c r="F526" s="12">
        <f t="shared" si="8"/>
        <v>34800</v>
      </c>
    </row>
    <row r="527" spans="1:6" x14ac:dyDescent="0.3">
      <c r="A527" s="3" t="s">
        <v>79</v>
      </c>
      <c r="B527" s="3" t="s">
        <v>210</v>
      </c>
      <c r="C527" s="5">
        <v>35000</v>
      </c>
      <c r="D527" s="5">
        <v>0</v>
      </c>
      <c r="E527" s="5">
        <v>200</v>
      </c>
      <c r="F527" s="12">
        <f t="shared" si="8"/>
        <v>34800</v>
      </c>
    </row>
    <row r="528" spans="1:6" x14ac:dyDescent="0.3">
      <c r="A528" s="3" t="s">
        <v>83</v>
      </c>
      <c r="B528" s="3" t="s">
        <v>210</v>
      </c>
      <c r="C528" s="5">
        <v>56000</v>
      </c>
      <c r="D528" s="5">
        <v>0</v>
      </c>
      <c r="E528" s="5">
        <v>300</v>
      </c>
      <c r="F528" s="12">
        <f t="shared" si="8"/>
        <v>55700</v>
      </c>
    </row>
    <row r="529" spans="1:6" x14ac:dyDescent="0.3">
      <c r="A529" s="3" t="s">
        <v>87</v>
      </c>
      <c r="B529" s="3" t="s">
        <v>210</v>
      </c>
      <c r="C529" s="5">
        <v>45000</v>
      </c>
      <c r="D529" s="5">
        <v>0</v>
      </c>
      <c r="E529" s="5">
        <v>500</v>
      </c>
      <c r="F529" s="12">
        <f t="shared" si="8"/>
        <v>44500</v>
      </c>
    </row>
    <row r="530" spans="1:6" x14ac:dyDescent="0.3">
      <c r="A530" s="3" t="s">
        <v>91</v>
      </c>
      <c r="B530" s="3" t="s">
        <v>210</v>
      </c>
      <c r="C530" s="5">
        <v>65000</v>
      </c>
      <c r="D530" s="5">
        <v>1000</v>
      </c>
      <c r="E530" s="5">
        <v>0</v>
      </c>
      <c r="F530" s="12">
        <f t="shared" si="8"/>
        <v>66000</v>
      </c>
    </row>
    <row r="531" spans="1:6" x14ac:dyDescent="0.3">
      <c r="A531" s="3" t="s">
        <v>95</v>
      </c>
      <c r="B531" s="3" t="s">
        <v>210</v>
      </c>
      <c r="C531" s="5">
        <v>52000</v>
      </c>
      <c r="D531" s="5">
        <v>2000</v>
      </c>
      <c r="E531" s="5">
        <v>500</v>
      </c>
      <c r="F531" s="12">
        <f t="shared" si="8"/>
        <v>53500</v>
      </c>
    </row>
    <row r="532" spans="1:6" x14ac:dyDescent="0.3">
      <c r="A532" s="3" t="s">
        <v>99</v>
      </c>
      <c r="B532" s="3" t="s">
        <v>210</v>
      </c>
      <c r="C532" s="5">
        <v>60000</v>
      </c>
      <c r="D532" s="5">
        <v>1000</v>
      </c>
      <c r="E532" s="5">
        <v>300</v>
      </c>
      <c r="F532" s="12">
        <f t="shared" si="8"/>
        <v>60700</v>
      </c>
    </row>
    <row r="533" spans="1:6" x14ac:dyDescent="0.3">
      <c r="A533" s="3" t="s">
        <v>107</v>
      </c>
      <c r="B533" s="3" t="s">
        <v>210</v>
      </c>
      <c r="C533" s="5">
        <v>65000</v>
      </c>
      <c r="D533" s="5">
        <v>0</v>
      </c>
      <c r="E533" s="5">
        <v>0</v>
      </c>
      <c r="F533" s="12">
        <f t="shared" si="8"/>
        <v>65000</v>
      </c>
    </row>
    <row r="534" spans="1:6" x14ac:dyDescent="0.3">
      <c r="A534" s="3" t="s">
        <v>115</v>
      </c>
      <c r="B534" s="3" t="s">
        <v>210</v>
      </c>
      <c r="C534" s="5">
        <v>35000</v>
      </c>
      <c r="D534" s="5">
        <v>2000</v>
      </c>
      <c r="E534" s="5">
        <v>0</v>
      </c>
      <c r="F534" s="12">
        <f t="shared" si="8"/>
        <v>37000</v>
      </c>
    </row>
    <row r="535" spans="1:6" x14ac:dyDescent="0.3">
      <c r="A535" s="3" t="s">
        <v>119</v>
      </c>
      <c r="B535" s="3" t="s">
        <v>210</v>
      </c>
      <c r="C535" s="5">
        <v>35000</v>
      </c>
      <c r="D535" s="5">
        <v>1500</v>
      </c>
      <c r="E535" s="5">
        <v>200</v>
      </c>
      <c r="F535" s="12">
        <f t="shared" si="8"/>
        <v>36300</v>
      </c>
    </row>
    <row r="536" spans="1:6" x14ac:dyDescent="0.3">
      <c r="A536" s="3" t="s">
        <v>123</v>
      </c>
      <c r="B536" s="3" t="s">
        <v>210</v>
      </c>
      <c r="C536" s="5">
        <v>35000</v>
      </c>
      <c r="D536" s="5">
        <v>2000</v>
      </c>
      <c r="E536" s="5">
        <v>0</v>
      </c>
      <c r="F536" s="12">
        <f t="shared" si="8"/>
        <v>37000</v>
      </c>
    </row>
    <row r="537" spans="1:6" x14ac:dyDescent="0.3">
      <c r="A537" s="3" t="s">
        <v>127</v>
      </c>
      <c r="B537" s="3" t="s">
        <v>210</v>
      </c>
      <c r="C537" s="5">
        <v>56000</v>
      </c>
      <c r="D537" s="5">
        <v>1500</v>
      </c>
      <c r="E537" s="5">
        <v>300</v>
      </c>
      <c r="F537" s="12">
        <f t="shared" si="8"/>
        <v>57200</v>
      </c>
    </row>
    <row r="538" spans="1:6" x14ac:dyDescent="0.3">
      <c r="A538" s="3" t="s">
        <v>131</v>
      </c>
      <c r="B538" s="3" t="s">
        <v>210</v>
      </c>
      <c r="C538" s="5">
        <v>32000</v>
      </c>
      <c r="D538" s="5">
        <v>1000</v>
      </c>
      <c r="E538" s="5">
        <v>0</v>
      </c>
      <c r="F538" s="12">
        <f t="shared" si="8"/>
        <v>33000</v>
      </c>
    </row>
    <row r="539" spans="1:6" x14ac:dyDescent="0.3">
      <c r="A539" s="3" t="s">
        <v>135</v>
      </c>
      <c r="B539" s="3" t="s">
        <v>210</v>
      </c>
      <c r="C539" s="5">
        <v>48000</v>
      </c>
      <c r="D539" s="5">
        <v>500</v>
      </c>
      <c r="E539" s="5">
        <v>200</v>
      </c>
      <c r="F539" s="12">
        <f t="shared" si="8"/>
        <v>48300</v>
      </c>
    </row>
    <row r="540" spans="1:6" x14ac:dyDescent="0.3">
      <c r="A540" s="3" t="s">
        <v>139</v>
      </c>
      <c r="B540" s="3" t="s">
        <v>210</v>
      </c>
      <c r="C540" s="5">
        <v>42000</v>
      </c>
      <c r="D540" s="5">
        <v>2000</v>
      </c>
      <c r="E540" s="5">
        <v>200</v>
      </c>
      <c r="F540" s="12">
        <f t="shared" si="8"/>
        <v>43800</v>
      </c>
    </row>
    <row r="541" spans="1:6" x14ac:dyDescent="0.3">
      <c r="A541" s="3" t="s">
        <v>143</v>
      </c>
      <c r="B541" s="3" t="s">
        <v>210</v>
      </c>
      <c r="C541" s="5">
        <v>32000</v>
      </c>
      <c r="D541" s="5">
        <v>2000</v>
      </c>
      <c r="E541" s="5">
        <v>500</v>
      </c>
      <c r="F541" s="12">
        <f t="shared" si="8"/>
        <v>33500</v>
      </c>
    </row>
    <row r="542" spans="1:6" x14ac:dyDescent="0.3">
      <c r="A542" s="3" t="s">
        <v>147</v>
      </c>
      <c r="B542" s="3" t="s">
        <v>210</v>
      </c>
      <c r="C542" s="5">
        <v>48000</v>
      </c>
      <c r="D542" s="5">
        <v>0</v>
      </c>
      <c r="E542" s="5">
        <v>0</v>
      </c>
      <c r="F542" s="12">
        <f t="shared" si="8"/>
        <v>48000</v>
      </c>
    </row>
    <row r="543" spans="1:6" x14ac:dyDescent="0.3">
      <c r="A543" s="3" t="s">
        <v>151</v>
      </c>
      <c r="B543" s="3" t="s">
        <v>210</v>
      </c>
      <c r="C543" s="5">
        <v>65000</v>
      </c>
      <c r="D543" s="5">
        <v>0</v>
      </c>
      <c r="E543" s="5">
        <v>0</v>
      </c>
      <c r="F543" s="12">
        <f t="shared" si="8"/>
        <v>65000</v>
      </c>
    </row>
    <row r="544" spans="1:6" x14ac:dyDescent="0.3">
      <c r="A544" s="3" t="s">
        <v>155</v>
      </c>
      <c r="B544" s="3" t="s">
        <v>210</v>
      </c>
      <c r="C544" s="5">
        <v>52000</v>
      </c>
      <c r="D544" s="5">
        <v>0</v>
      </c>
      <c r="E544" s="5">
        <v>500</v>
      </c>
      <c r="F544" s="12">
        <f t="shared" si="8"/>
        <v>51500</v>
      </c>
    </row>
    <row r="545" spans="1:6" x14ac:dyDescent="0.3">
      <c r="A545" s="3" t="s">
        <v>159</v>
      </c>
      <c r="B545" s="3" t="s">
        <v>210</v>
      </c>
      <c r="C545" s="5">
        <v>52000</v>
      </c>
      <c r="D545" s="5">
        <v>1000</v>
      </c>
      <c r="E545" s="5">
        <v>0</v>
      </c>
      <c r="F545" s="12">
        <f t="shared" si="8"/>
        <v>53000</v>
      </c>
    </row>
    <row r="546" spans="1:6" x14ac:dyDescent="0.3">
      <c r="A546" s="3" t="s">
        <v>163</v>
      </c>
      <c r="B546" s="3" t="s">
        <v>210</v>
      </c>
      <c r="C546" s="5">
        <v>65000</v>
      </c>
      <c r="D546" s="5">
        <v>0</v>
      </c>
      <c r="E546" s="5">
        <v>200</v>
      </c>
      <c r="F546" s="12">
        <f t="shared" si="8"/>
        <v>64800</v>
      </c>
    </row>
    <row r="547" spans="1:6" x14ac:dyDescent="0.3">
      <c r="A547" s="3" t="s">
        <v>39</v>
      </c>
      <c r="B547" s="3" t="s">
        <v>211</v>
      </c>
      <c r="C547" s="5">
        <v>48000</v>
      </c>
      <c r="D547" s="5">
        <v>0</v>
      </c>
      <c r="E547" s="5">
        <v>200</v>
      </c>
      <c r="F547" s="12">
        <f t="shared" si="8"/>
        <v>47800</v>
      </c>
    </row>
    <row r="548" spans="1:6" x14ac:dyDescent="0.3">
      <c r="A548" s="3" t="s">
        <v>44</v>
      </c>
      <c r="B548" s="3" t="s">
        <v>211</v>
      </c>
      <c r="C548" s="5">
        <v>60000</v>
      </c>
      <c r="D548" s="5">
        <v>500</v>
      </c>
      <c r="E548" s="5">
        <v>500</v>
      </c>
      <c r="F548" s="12">
        <f t="shared" si="8"/>
        <v>60000</v>
      </c>
    </row>
    <row r="549" spans="1:6" x14ac:dyDescent="0.3">
      <c r="A549" s="3" t="s">
        <v>49</v>
      </c>
      <c r="B549" s="3" t="s">
        <v>211</v>
      </c>
      <c r="C549" s="5">
        <v>65000</v>
      </c>
      <c r="D549" s="5">
        <v>1500</v>
      </c>
      <c r="E549" s="5">
        <v>200</v>
      </c>
      <c r="F549" s="12">
        <f t="shared" si="8"/>
        <v>66300</v>
      </c>
    </row>
    <row r="550" spans="1:6" x14ac:dyDescent="0.3">
      <c r="A550" s="3" t="s">
        <v>59</v>
      </c>
      <c r="B550" s="3" t="s">
        <v>211</v>
      </c>
      <c r="C550" s="5">
        <v>35000</v>
      </c>
      <c r="D550" s="5">
        <v>500</v>
      </c>
      <c r="E550" s="5">
        <v>0</v>
      </c>
      <c r="F550" s="12">
        <f t="shared" si="8"/>
        <v>35500</v>
      </c>
    </row>
    <row r="551" spans="1:6" x14ac:dyDescent="0.3">
      <c r="A551" s="3" t="s">
        <v>64</v>
      </c>
      <c r="B551" s="3" t="s">
        <v>211</v>
      </c>
      <c r="C551" s="5">
        <v>65000</v>
      </c>
      <c r="D551" s="5">
        <v>0</v>
      </c>
      <c r="E551" s="5">
        <v>0</v>
      </c>
      <c r="F551" s="12">
        <f t="shared" si="8"/>
        <v>65000</v>
      </c>
    </row>
    <row r="552" spans="1:6" x14ac:dyDescent="0.3">
      <c r="A552" s="3" t="s">
        <v>69</v>
      </c>
      <c r="B552" s="3" t="s">
        <v>211</v>
      </c>
      <c r="C552" s="5">
        <v>65000</v>
      </c>
      <c r="D552" s="5">
        <v>2000</v>
      </c>
      <c r="E552" s="5">
        <v>0</v>
      </c>
      <c r="F552" s="12">
        <f t="shared" si="8"/>
        <v>67000</v>
      </c>
    </row>
    <row r="553" spans="1:6" x14ac:dyDescent="0.3">
      <c r="A553" s="3" t="s">
        <v>74</v>
      </c>
      <c r="B553" s="3" t="s">
        <v>211</v>
      </c>
      <c r="C553" s="5">
        <v>35000</v>
      </c>
      <c r="D553" s="5">
        <v>2000</v>
      </c>
      <c r="E553" s="5">
        <v>200</v>
      </c>
      <c r="F553" s="12">
        <f t="shared" si="8"/>
        <v>36800</v>
      </c>
    </row>
    <row r="554" spans="1:6" x14ac:dyDescent="0.3">
      <c r="A554" s="3" t="s">
        <v>79</v>
      </c>
      <c r="B554" s="3" t="s">
        <v>211</v>
      </c>
      <c r="C554" s="5">
        <v>35000</v>
      </c>
      <c r="D554" s="5">
        <v>500</v>
      </c>
      <c r="E554" s="5">
        <v>300</v>
      </c>
      <c r="F554" s="12">
        <f t="shared" si="8"/>
        <v>35200</v>
      </c>
    </row>
    <row r="555" spans="1:6" x14ac:dyDescent="0.3">
      <c r="A555" s="3" t="s">
        <v>83</v>
      </c>
      <c r="B555" s="3" t="s">
        <v>211</v>
      </c>
      <c r="C555" s="5">
        <v>56000</v>
      </c>
      <c r="D555" s="5">
        <v>0</v>
      </c>
      <c r="E555" s="5">
        <v>0</v>
      </c>
      <c r="F555" s="12">
        <f t="shared" si="8"/>
        <v>56000</v>
      </c>
    </row>
    <row r="556" spans="1:6" x14ac:dyDescent="0.3">
      <c r="A556" s="3" t="s">
        <v>87</v>
      </c>
      <c r="B556" s="3" t="s">
        <v>211</v>
      </c>
      <c r="C556" s="5">
        <v>45000</v>
      </c>
      <c r="D556" s="5">
        <v>0</v>
      </c>
      <c r="E556" s="5">
        <v>200</v>
      </c>
      <c r="F556" s="12">
        <f t="shared" si="8"/>
        <v>44800</v>
      </c>
    </row>
    <row r="557" spans="1:6" x14ac:dyDescent="0.3">
      <c r="A557" s="3" t="s">
        <v>91</v>
      </c>
      <c r="B557" s="3" t="s">
        <v>211</v>
      </c>
      <c r="C557" s="5">
        <v>65000</v>
      </c>
      <c r="D557" s="5">
        <v>1000</v>
      </c>
      <c r="E557" s="5">
        <v>200</v>
      </c>
      <c r="F557" s="12">
        <f t="shared" si="8"/>
        <v>65800</v>
      </c>
    </row>
    <row r="558" spans="1:6" x14ac:dyDescent="0.3">
      <c r="A558" s="3" t="s">
        <v>95</v>
      </c>
      <c r="B558" s="3" t="s">
        <v>211</v>
      </c>
      <c r="C558" s="5">
        <v>52000</v>
      </c>
      <c r="D558" s="5">
        <v>1500</v>
      </c>
      <c r="E558" s="5">
        <v>300</v>
      </c>
      <c r="F558" s="12">
        <f t="shared" si="8"/>
        <v>53200</v>
      </c>
    </row>
    <row r="559" spans="1:6" x14ac:dyDescent="0.3">
      <c r="A559" s="3" t="s">
        <v>99</v>
      </c>
      <c r="B559" s="3" t="s">
        <v>211</v>
      </c>
      <c r="C559" s="5">
        <v>60000</v>
      </c>
      <c r="D559" s="5">
        <v>500</v>
      </c>
      <c r="E559" s="5">
        <v>300</v>
      </c>
      <c r="F559" s="12">
        <f t="shared" si="8"/>
        <v>60200</v>
      </c>
    </row>
    <row r="560" spans="1:6" x14ac:dyDescent="0.3">
      <c r="A560" s="3" t="s">
        <v>107</v>
      </c>
      <c r="B560" s="3" t="s">
        <v>211</v>
      </c>
      <c r="C560" s="5">
        <v>65000</v>
      </c>
      <c r="D560" s="5">
        <v>0</v>
      </c>
      <c r="E560" s="5">
        <v>500</v>
      </c>
      <c r="F560" s="12">
        <f t="shared" si="8"/>
        <v>64500</v>
      </c>
    </row>
    <row r="561" spans="1:6" x14ac:dyDescent="0.3">
      <c r="A561" s="3" t="s">
        <v>115</v>
      </c>
      <c r="B561" s="3" t="s">
        <v>211</v>
      </c>
      <c r="C561" s="5">
        <v>35000</v>
      </c>
      <c r="D561" s="5">
        <v>0</v>
      </c>
      <c r="E561" s="5">
        <v>0</v>
      </c>
      <c r="F561" s="12">
        <f t="shared" si="8"/>
        <v>35000</v>
      </c>
    </row>
    <row r="562" spans="1:6" x14ac:dyDescent="0.3">
      <c r="A562" s="3" t="s">
        <v>119</v>
      </c>
      <c r="B562" s="3" t="s">
        <v>211</v>
      </c>
      <c r="C562" s="5">
        <v>35000</v>
      </c>
      <c r="D562" s="5">
        <v>500</v>
      </c>
      <c r="E562" s="5">
        <v>500</v>
      </c>
      <c r="F562" s="12">
        <f t="shared" si="8"/>
        <v>35000</v>
      </c>
    </row>
    <row r="563" spans="1:6" x14ac:dyDescent="0.3">
      <c r="A563" s="3" t="s">
        <v>123</v>
      </c>
      <c r="B563" s="3" t="s">
        <v>211</v>
      </c>
      <c r="C563" s="5">
        <v>35000</v>
      </c>
      <c r="D563" s="5">
        <v>2000</v>
      </c>
      <c r="E563" s="5">
        <v>300</v>
      </c>
      <c r="F563" s="12">
        <f t="shared" si="8"/>
        <v>36700</v>
      </c>
    </row>
    <row r="564" spans="1:6" x14ac:dyDescent="0.3">
      <c r="A564" s="3" t="s">
        <v>127</v>
      </c>
      <c r="B564" s="3" t="s">
        <v>211</v>
      </c>
      <c r="C564" s="5">
        <v>56000</v>
      </c>
      <c r="D564" s="5">
        <v>0</v>
      </c>
      <c r="E564" s="5">
        <v>300</v>
      </c>
      <c r="F564" s="12">
        <f t="shared" si="8"/>
        <v>55700</v>
      </c>
    </row>
    <row r="565" spans="1:6" x14ac:dyDescent="0.3">
      <c r="A565" s="3" t="s">
        <v>131</v>
      </c>
      <c r="B565" s="3" t="s">
        <v>211</v>
      </c>
      <c r="C565" s="5">
        <v>32000</v>
      </c>
      <c r="D565" s="5">
        <v>1500</v>
      </c>
      <c r="E565" s="5">
        <v>0</v>
      </c>
      <c r="F565" s="12">
        <f t="shared" si="8"/>
        <v>33500</v>
      </c>
    </row>
    <row r="566" spans="1:6" x14ac:dyDescent="0.3">
      <c r="A566" s="3" t="s">
        <v>135</v>
      </c>
      <c r="B566" s="3" t="s">
        <v>211</v>
      </c>
      <c r="C566" s="5">
        <v>48000</v>
      </c>
      <c r="D566" s="5">
        <v>500</v>
      </c>
      <c r="E566" s="5">
        <v>0</v>
      </c>
      <c r="F566" s="12">
        <f t="shared" si="8"/>
        <v>48500</v>
      </c>
    </row>
    <row r="567" spans="1:6" x14ac:dyDescent="0.3">
      <c r="A567" s="3" t="s">
        <v>139</v>
      </c>
      <c r="B567" s="3" t="s">
        <v>211</v>
      </c>
      <c r="C567" s="5">
        <v>42000</v>
      </c>
      <c r="D567" s="5">
        <v>500</v>
      </c>
      <c r="E567" s="5">
        <v>0</v>
      </c>
      <c r="F567" s="12">
        <f t="shared" si="8"/>
        <v>42500</v>
      </c>
    </row>
    <row r="568" spans="1:6" x14ac:dyDescent="0.3">
      <c r="A568" s="3" t="s">
        <v>143</v>
      </c>
      <c r="B568" s="3" t="s">
        <v>211</v>
      </c>
      <c r="C568" s="5">
        <v>32000</v>
      </c>
      <c r="D568" s="5">
        <v>2000</v>
      </c>
      <c r="E568" s="5">
        <v>300</v>
      </c>
      <c r="F568" s="12">
        <f t="shared" si="8"/>
        <v>33700</v>
      </c>
    </row>
    <row r="569" spans="1:6" x14ac:dyDescent="0.3">
      <c r="A569" s="3" t="s">
        <v>147</v>
      </c>
      <c r="B569" s="3" t="s">
        <v>211</v>
      </c>
      <c r="C569" s="5">
        <v>48000</v>
      </c>
      <c r="D569" s="5">
        <v>0</v>
      </c>
      <c r="E569" s="5">
        <v>300</v>
      </c>
      <c r="F569" s="12">
        <f t="shared" si="8"/>
        <v>47700</v>
      </c>
    </row>
    <row r="570" spans="1:6" x14ac:dyDescent="0.3">
      <c r="A570" s="3" t="s">
        <v>151</v>
      </c>
      <c r="B570" s="3" t="s">
        <v>211</v>
      </c>
      <c r="C570" s="5">
        <v>65000</v>
      </c>
      <c r="D570" s="5">
        <v>1000</v>
      </c>
      <c r="E570" s="5">
        <v>0</v>
      </c>
      <c r="F570" s="12">
        <f t="shared" si="8"/>
        <v>66000</v>
      </c>
    </row>
    <row r="571" spans="1:6" x14ac:dyDescent="0.3">
      <c r="A571" s="3" t="s">
        <v>155</v>
      </c>
      <c r="B571" s="3" t="s">
        <v>211</v>
      </c>
      <c r="C571" s="5">
        <v>52000</v>
      </c>
      <c r="D571" s="5">
        <v>2000</v>
      </c>
      <c r="E571" s="5">
        <v>300</v>
      </c>
      <c r="F571" s="12">
        <f t="shared" si="8"/>
        <v>53700</v>
      </c>
    </row>
    <row r="572" spans="1:6" x14ac:dyDescent="0.3">
      <c r="A572" s="3" t="s">
        <v>159</v>
      </c>
      <c r="B572" s="3" t="s">
        <v>211</v>
      </c>
      <c r="C572" s="5">
        <v>52000</v>
      </c>
      <c r="D572" s="5">
        <v>1500</v>
      </c>
      <c r="E572" s="5">
        <v>0</v>
      </c>
      <c r="F572" s="12">
        <f t="shared" si="8"/>
        <v>53500</v>
      </c>
    </row>
    <row r="573" spans="1:6" x14ac:dyDescent="0.3">
      <c r="A573" s="3" t="s">
        <v>163</v>
      </c>
      <c r="B573" s="3" t="s">
        <v>211</v>
      </c>
      <c r="C573" s="5">
        <v>65000</v>
      </c>
      <c r="D573" s="5">
        <v>1000</v>
      </c>
      <c r="E573" s="5">
        <v>0</v>
      </c>
      <c r="F573" s="12">
        <f t="shared" si="8"/>
        <v>66000</v>
      </c>
    </row>
    <row r="574" spans="1:6" x14ac:dyDescent="0.3">
      <c r="A574" s="3" t="s">
        <v>39</v>
      </c>
      <c r="B574" s="3" t="s">
        <v>212</v>
      </c>
      <c r="C574" s="5">
        <v>48000</v>
      </c>
      <c r="D574" s="5">
        <v>500</v>
      </c>
      <c r="E574" s="5">
        <v>300</v>
      </c>
      <c r="F574" s="12">
        <f t="shared" si="8"/>
        <v>48200</v>
      </c>
    </row>
    <row r="575" spans="1:6" x14ac:dyDescent="0.3">
      <c r="A575" s="3" t="s">
        <v>44</v>
      </c>
      <c r="B575" s="3" t="s">
        <v>212</v>
      </c>
      <c r="C575" s="5">
        <v>60000</v>
      </c>
      <c r="D575" s="5">
        <v>500</v>
      </c>
      <c r="E575" s="5">
        <v>200</v>
      </c>
      <c r="F575" s="12">
        <f t="shared" si="8"/>
        <v>60300</v>
      </c>
    </row>
    <row r="576" spans="1:6" x14ac:dyDescent="0.3">
      <c r="A576" s="3" t="s">
        <v>49</v>
      </c>
      <c r="B576" s="3" t="s">
        <v>212</v>
      </c>
      <c r="C576" s="5">
        <v>65000</v>
      </c>
      <c r="D576" s="5">
        <v>1500</v>
      </c>
      <c r="E576" s="5">
        <v>300</v>
      </c>
      <c r="F576" s="12">
        <f t="shared" si="8"/>
        <v>66200</v>
      </c>
    </row>
    <row r="577" spans="1:6" x14ac:dyDescent="0.3">
      <c r="A577" s="3" t="s">
        <v>59</v>
      </c>
      <c r="B577" s="3" t="s">
        <v>212</v>
      </c>
      <c r="C577" s="5">
        <v>35000</v>
      </c>
      <c r="D577" s="5">
        <v>2000</v>
      </c>
      <c r="E577" s="5">
        <v>200</v>
      </c>
      <c r="F577" s="12">
        <f t="shared" si="8"/>
        <v>36800</v>
      </c>
    </row>
    <row r="578" spans="1:6" x14ac:dyDescent="0.3">
      <c r="A578" s="3" t="s">
        <v>64</v>
      </c>
      <c r="B578" s="3" t="s">
        <v>212</v>
      </c>
      <c r="C578" s="5">
        <v>65000</v>
      </c>
      <c r="D578" s="5">
        <v>500</v>
      </c>
      <c r="E578" s="5">
        <v>0</v>
      </c>
      <c r="F578" s="12">
        <f t="shared" ref="F578:F641" si="9">C578+D578-E578</f>
        <v>65500</v>
      </c>
    </row>
    <row r="579" spans="1:6" x14ac:dyDescent="0.3">
      <c r="A579" s="3" t="s">
        <v>69</v>
      </c>
      <c r="B579" s="3" t="s">
        <v>212</v>
      </c>
      <c r="C579" s="5">
        <v>65000</v>
      </c>
      <c r="D579" s="5">
        <v>2000</v>
      </c>
      <c r="E579" s="5">
        <v>500</v>
      </c>
      <c r="F579" s="12">
        <f t="shared" si="9"/>
        <v>66500</v>
      </c>
    </row>
    <row r="580" spans="1:6" x14ac:dyDescent="0.3">
      <c r="A580" s="3" t="s">
        <v>74</v>
      </c>
      <c r="B580" s="3" t="s">
        <v>212</v>
      </c>
      <c r="C580" s="5">
        <v>35000</v>
      </c>
      <c r="D580" s="5">
        <v>0</v>
      </c>
      <c r="E580" s="5">
        <v>0</v>
      </c>
      <c r="F580" s="12">
        <f t="shared" si="9"/>
        <v>35000</v>
      </c>
    </row>
    <row r="581" spans="1:6" x14ac:dyDescent="0.3">
      <c r="A581" s="3" t="s">
        <v>79</v>
      </c>
      <c r="B581" s="3" t="s">
        <v>212</v>
      </c>
      <c r="C581" s="5">
        <v>35000</v>
      </c>
      <c r="D581" s="5">
        <v>1000</v>
      </c>
      <c r="E581" s="5">
        <v>200</v>
      </c>
      <c r="F581" s="12">
        <f t="shared" si="9"/>
        <v>35800</v>
      </c>
    </row>
    <row r="582" spans="1:6" x14ac:dyDescent="0.3">
      <c r="A582" s="3" t="s">
        <v>83</v>
      </c>
      <c r="B582" s="3" t="s">
        <v>212</v>
      </c>
      <c r="C582" s="5">
        <v>56000</v>
      </c>
      <c r="D582" s="5">
        <v>0</v>
      </c>
      <c r="E582" s="5">
        <v>500</v>
      </c>
      <c r="F582" s="12">
        <f t="shared" si="9"/>
        <v>55500</v>
      </c>
    </row>
    <row r="583" spans="1:6" x14ac:dyDescent="0.3">
      <c r="A583" s="3" t="s">
        <v>87</v>
      </c>
      <c r="B583" s="3" t="s">
        <v>212</v>
      </c>
      <c r="C583" s="5">
        <v>45000</v>
      </c>
      <c r="D583" s="5">
        <v>500</v>
      </c>
      <c r="E583" s="5">
        <v>300</v>
      </c>
      <c r="F583" s="12">
        <f t="shared" si="9"/>
        <v>45200</v>
      </c>
    </row>
    <row r="584" spans="1:6" x14ac:dyDescent="0.3">
      <c r="A584" s="3" t="s">
        <v>91</v>
      </c>
      <c r="B584" s="3" t="s">
        <v>212</v>
      </c>
      <c r="C584" s="5">
        <v>65000</v>
      </c>
      <c r="D584" s="5">
        <v>1000</v>
      </c>
      <c r="E584" s="5">
        <v>200</v>
      </c>
      <c r="F584" s="12">
        <f t="shared" si="9"/>
        <v>65800</v>
      </c>
    </row>
    <row r="585" spans="1:6" x14ac:dyDescent="0.3">
      <c r="A585" s="3" t="s">
        <v>95</v>
      </c>
      <c r="B585" s="3" t="s">
        <v>212</v>
      </c>
      <c r="C585" s="5">
        <v>52000</v>
      </c>
      <c r="D585" s="5">
        <v>500</v>
      </c>
      <c r="E585" s="5">
        <v>0</v>
      </c>
      <c r="F585" s="12">
        <f t="shared" si="9"/>
        <v>52500</v>
      </c>
    </row>
    <row r="586" spans="1:6" x14ac:dyDescent="0.3">
      <c r="A586" s="3" t="s">
        <v>99</v>
      </c>
      <c r="B586" s="3" t="s">
        <v>212</v>
      </c>
      <c r="C586" s="5">
        <v>60000</v>
      </c>
      <c r="D586" s="5">
        <v>1500</v>
      </c>
      <c r="E586" s="5">
        <v>0</v>
      </c>
      <c r="F586" s="12">
        <f t="shared" si="9"/>
        <v>61500</v>
      </c>
    </row>
    <row r="587" spans="1:6" x14ac:dyDescent="0.3">
      <c r="A587" s="3" t="s">
        <v>107</v>
      </c>
      <c r="B587" s="3" t="s">
        <v>212</v>
      </c>
      <c r="C587" s="5">
        <v>65000</v>
      </c>
      <c r="D587" s="5">
        <v>1500</v>
      </c>
      <c r="E587" s="5">
        <v>0</v>
      </c>
      <c r="F587" s="12">
        <f t="shared" si="9"/>
        <v>66500</v>
      </c>
    </row>
    <row r="588" spans="1:6" x14ac:dyDescent="0.3">
      <c r="A588" s="3" t="s">
        <v>115</v>
      </c>
      <c r="B588" s="3" t="s">
        <v>212</v>
      </c>
      <c r="C588" s="5">
        <v>35000</v>
      </c>
      <c r="D588" s="5">
        <v>1000</v>
      </c>
      <c r="E588" s="5">
        <v>0</v>
      </c>
      <c r="F588" s="12">
        <f t="shared" si="9"/>
        <v>36000</v>
      </c>
    </row>
    <row r="589" spans="1:6" x14ac:dyDescent="0.3">
      <c r="A589" s="3" t="s">
        <v>119</v>
      </c>
      <c r="B589" s="3" t="s">
        <v>212</v>
      </c>
      <c r="C589" s="5">
        <v>35000</v>
      </c>
      <c r="D589" s="5">
        <v>0</v>
      </c>
      <c r="E589" s="5">
        <v>200</v>
      </c>
      <c r="F589" s="12">
        <f t="shared" si="9"/>
        <v>34800</v>
      </c>
    </row>
    <row r="590" spans="1:6" x14ac:dyDescent="0.3">
      <c r="A590" s="3" t="s">
        <v>123</v>
      </c>
      <c r="B590" s="3" t="s">
        <v>212</v>
      </c>
      <c r="C590" s="5">
        <v>35000</v>
      </c>
      <c r="D590" s="5">
        <v>0</v>
      </c>
      <c r="E590" s="5">
        <v>200</v>
      </c>
      <c r="F590" s="12">
        <f t="shared" si="9"/>
        <v>34800</v>
      </c>
    </row>
    <row r="591" spans="1:6" x14ac:dyDescent="0.3">
      <c r="A591" s="3" t="s">
        <v>127</v>
      </c>
      <c r="B591" s="3" t="s">
        <v>212</v>
      </c>
      <c r="C591" s="5">
        <v>56000</v>
      </c>
      <c r="D591" s="5">
        <v>0</v>
      </c>
      <c r="E591" s="5">
        <v>500</v>
      </c>
      <c r="F591" s="12">
        <f t="shared" si="9"/>
        <v>55500</v>
      </c>
    </row>
    <row r="592" spans="1:6" x14ac:dyDescent="0.3">
      <c r="A592" s="3" t="s">
        <v>131</v>
      </c>
      <c r="B592" s="3" t="s">
        <v>212</v>
      </c>
      <c r="C592" s="5">
        <v>32000</v>
      </c>
      <c r="D592" s="5">
        <v>2000</v>
      </c>
      <c r="E592" s="5">
        <v>200</v>
      </c>
      <c r="F592" s="12">
        <f t="shared" si="9"/>
        <v>33800</v>
      </c>
    </row>
    <row r="593" spans="1:6" x14ac:dyDescent="0.3">
      <c r="A593" s="3" t="s">
        <v>135</v>
      </c>
      <c r="B593" s="3" t="s">
        <v>212</v>
      </c>
      <c r="C593" s="5">
        <v>48000</v>
      </c>
      <c r="D593" s="5">
        <v>0</v>
      </c>
      <c r="E593" s="5">
        <v>0</v>
      </c>
      <c r="F593" s="12">
        <f t="shared" si="9"/>
        <v>48000</v>
      </c>
    </row>
    <row r="594" spans="1:6" x14ac:dyDescent="0.3">
      <c r="A594" s="3" t="s">
        <v>139</v>
      </c>
      <c r="B594" s="3" t="s">
        <v>212</v>
      </c>
      <c r="C594" s="5">
        <v>42000</v>
      </c>
      <c r="D594" s="5">
        <v>1000</v>
      </c>
      <c r="E594" s="5">
        <v>0</v>
      </c>
      <c r="F594" s="12">
        <f t="shared" si="9"/>
        <v>43000</v>
      </c>
    </row>
    <row r="595" spans="1:6" x14ac:dyDescent="0.3">
      <c r="A595" s="3" t="s">
        <v>143</v>
      </c>
      <c r="B595" s="3" t="s">
        <v>212</v>
      </c>
      <c r="C595" s="5">
        <v>32000</v>
      </c>
      <c r="D595" s="5">
        <v>500</v>
      </c>
      <c r="E595" s="5">
        <v>0</v>
      </c>
      <c r="F595" s="12">
        <f t="shared" si="9"/>
        <v>32500</v>
      </c>
    </row>
    <row r="596" spans="1:6" x14ac:dyDescent="0.3">
      <c r="A596" s="3" t="s">
        <v>147</v>
      </c>
      <c r="B596" s="3" t="s">
        <v>212</v>
      </c>
      <c r="C596" s="5">
        <v>48000</v>
      </c>
      <c r="D596" s="5">
        <v>1000</v>
      </c>
      <c r="E596" s="5">
        <v>500</v>
      </c>
      <c r="F596" s="12">
        <f t="shared" si="9"/>
        <v>48500</v>
      </c>
    </row>
    <row r="597" spans="1:6" x14ac:dyDescent="0.3">
      <c r="A597" s="3" t="s">
        <v>151</v>
      </c>
      <c r="B597" s="3" t="s">
        <v>212</v>
      </c>
      <c r="C597" s="5">
        <v>65000</v>
      </c>
      <c r="D597" s="5">
        <v>500</v>
      </c>
      <c r="E597" s="5">
        <v>300</v>
      </c>
      <c r="F597" s="12">
        <f t="shared" si="9"/>
        <v>65200</v>
      </c>
    </row>
    <row r="598" spans="1:6" x14ac:dyDescent="0.3">
      <c r="A598" s="3" t="s">
        <v>155</v>
      </c>
      <c r="B598" s="3" t="s">
        <v>212</v>
      </c>
      <c r="C598" s="5">
        <v>52000</v>
      </c>
      <c r="D598" s="5">
        <v>2000</v>
      </c>
      <c r="E598" s="5">
        <v>500</v>
      </c>
      <c r="F598" s="12">
        <f t="shared" si="9"/>
        <v>53500</v>
      </c>
    </row>
    <row r="599" spans="1:6" x14ac:dyDescent="0.3">
      <c r="A599" s="3" t="s">
        <v>159</v>
      </c>
      <c r="B599" s="3" t="s">
        <v>212</v>
      </c>
      <c r="C599" s="5">
        <v>52000</v>
      </c>
      <c r="D599" s="5">
        <v>0</v>
      </c>
      <c r="E599" s="5">
        <v>0</v>
      </c>
      <c r="F599" s="12">
        <f t="shared" si="9"/>
        <v>52000</v>
      </c>
    </row>
    <row r="600" spans="1:6" x14ac:dyDescent="0.3">
      <c r="A600" s="3" t="s">
        <v>163</v>
      </c>
      <c r="B600" s="3" t="s">
        <v>212</v>
      </c>
      <c r="C600" s="5">
        <v>65000</v>
      </c>
      <c r="D600" s="5">
        <v>0</v>
      </c>
      <c r="E600" s="5">
        <v>300</v>
      </c>
      <c r="F600" s="12">
        <f t="shared" si="9"/>
        <v>64700</v>
      </c>
    </row>
    <row r="601" spans="1:6" x14ac:dyDescent="0.3">
      <c r="A601" s="3" t="s">
        <v>39</v>
      </c>
      <c r="B601" s="3" t="s">
        <v>213</v>
      </c>
      <c r="C601" s="5">
        <v>48000</v>
      </c>
      <c r="D601" s="5">
        <v>1000</v>
      </c>
      <c r="E601" s="5">
        <v>0</v>
      </c>
      <c r="F601" s="12">
        <f t="shared" si="9"/>
        <v>49000</v>
      </c>
    </row>
    <row r="602" spans="1:6" x14ac:dyDescent="0.3">
      <c r="A602" s="3" t="s">
        <v>44</v>
      </c>
      <c r="B602" s="3" t="s">
        <v>213</v>
      </c>
      <c r="C602" s="5">
        <v>60000</v>
      </c>
      <c r="D602" s="5">
        <v>2000</v>
      </c>
      <c r="E602" s="5">
        <v>500</v>
      </c>
      <c r="F602" s="12">
        <f t="shared" si="9"/>
        <v>61500</v>
      </c>
    </row>
    <row r="603" spans="1:6" x14ac:dyDescent="0.3">
      <c r="A603" s="3" t="s">
        <v>49</v>
      </c>
      <c r="B603" s="3" t="s">
        <v>213</v>
      </c>
      <c r="C603" s="5">
        <v>65000</v>
      </c>
      <c r="D603" s="5">
        <v>2000</v>
      </c>
      <c r="E603" s="5">
        <v>0</v>
      </c>
      <c r="F603" s="12">
        <f t="shared" si="9"/>
        <v>67000</v>
      </c>
    </row>
    <row r="604" spans="1:6" x14ac:dyDescent="0.3">
      <c r="A604" s="3" t="s">
        <v>59</v>
      </c>
      <c r="B604" s="3" t="s">
        <v>213</v>
      </c>
      <c r="C604" s="5">
        <v>35000</v>
      </c>
      <c r="D604" s="5">
        <v>0</v>
      </c>
      <c r="E604" s="5">
        <v>0</v>
      </c>
      <c r="F604" s="12">
        <f t="shared" si="9"/>
        <v>35000</v>
      </c>
    </row>
    <row r="605" spans="1:6" x14ac:dyDescent="0.3">
      <c r="A605" s="3" t="s">
        <v>64</v>
      </c>
      <c r="B605" s="3" t="s">
        <v>213</v>
      </c>
      <c r="C605" s="5">
        <v>65000</v>
      </c>
      <c r="D605" s="5">
        <v>1000</v>
      </c>
      <c r="E605" s="5">
        <v>300</v>
      </c>
      <c r="F605" s="12">
        <f t="shared" si="9"/>
        <v>65700</v>
      </c>
    </row>
    <row r="606" spans="1:6" x14ac:dyDescent="0.3">
      <c r="A606" s="3" t="s">
        <v>69</v>
      </c>
      <c r="B606" s="3" t="s">
        <v>213</v>
      </c>
      <c r="C606" s="5">
        <v>65000</v>
      </c>
      <c r="D606" s="5">
        <v>2000</v>
      </c>
      <c r="E606" s="5">
        <v>0</v>
      </c>
      <c r="F606" s="12">
        <f t="shared" si="9"/>
        <v>67000</v>
      </c>
    </row>
    <row r="607" spans="1:6" x14ac:dyDescent="0.3">
      <c r="A607" s="3" t="s">
        <v>74</v>
      </c>
      <c r="B607" s="3" t="s">
        <v>213</v>
      </c>
      <c r="C607" s="5">
        <v>35000</v>
      </c>
      <c r="D607" s="5">
        <v>1500</v>
      </c>
      <c r="E607" s="5">
        <v>500</v>
      </c>
      <c r="F607" s="12">
        <f t="shared" si="9"/>
        <v>36000</v>
      </c>
    </row>
    <row r="608" spans="1:6" x14ac:dyDescent="0.3">
      <c r="A608" s="3" t="s">
        <v>79</v>
      </c>
      <c r="B608" s="3" t="s">
        <v>213</v>
      </c>
      <c r="C608" s="5">
        <v>35000</v>
      </c>
      <c r="D608" s="5">
        <v>0</v>
      </c>
      <c r="E608" s="5">
        <v>300</v>
      </c>
      <c r="F608" s="12">
        <f t="shared" si="9"/>
        <v>34700</v>
      </c>
    </row>
    <row r="609" spans="1:6" x14ac:dyDescent="0.3">
      <c r="A609" s="3" t="s">
        <v>83</v>
      </c>
      <c r="B609" s="3" t="s">
        <v>213</v>
      </c>
      <c r="C609" s="5">
        <v>56000</v>
      </c>
      <c r="D609" s="5">
        <v>500</v>
      </c>
      <c r="E609" s="5">
        <v>0</v>
      </c>
      <c r="F609" s="12">
        <f t="shared" si="9"/>
        <v>56500</v>
      </c>
    </row>
    <row r="610" spans="1:6" x14ac:dyDescent="0.3">
      <c r="A610" s="3" t="s">
        <v>87</v>
      </c>
      <c r="B610" s="3" t="s">
        <v>213</v>
      </c>
      <c r="C610" s="5">
        <v>45000</v>
      </c>
      <c r="D610" s="5">
        <v>1500</v>
      </c>
      <c r="E610" s="5">
        <v>300</v>
      </c>
      <c r="F610" s="12">
        <f t="shared" si="9"/>
        <v>46200</v>
      </c>
    </row>
    <row r="611" spans="1:6" x14ac:dyDescent="0.3">
      <c r="A611" s="3" t="s">
        <v>91</v>
      </c>
      <c r="B611" s="3" t="s">
        <v>213</v>
      </c>
      <c r="C611" s="5">
        <v>65000</v>
      </c>
      <c r="D611" s="5">
        <v>0</v>
      </c>
      <c r="E611" s="5">
        <v>0</v>
      </c>
      <c r="F611" s="12">
        <f t="shared" si="9"/>
        <v>65000</v>
      </c>
    </row>
    <row r="612" spans="1:6" x14ac:dyDescent="0.3">
      <c r="A612" s="3" t="s">
        <v>95</v>
      </c>
      <c r="B612" s="3" t="s">
        <v>213</v>
      </c>
      <c r="C612" s="5">
        <v>52000</v>
      </c>
      <c r="D612" s="5">
        <v>0</v>
      </c>
      <c r="E612" s="5">
        <v>0</v>
      </c>
      <c r="F612" s="12">
        <f t="shared" si="9"/>
        <v>52000</v>
      </c>
    </row>
    <row r="613" spans="1:6" x14ac:dyDescent="0.3">
      <c r="A613" s="3" t="s">
        <v>99</v>
      </c>
      <c r="B613" s="3" t="s">
        <v>213</v>
      </c>
      <c r="C613" s="5">
        <v>60000</v>
      </c>
      <c r="D613" s="5">
        <v>2000</v>
      </c>
      <c r="E613" s="5">
        <v>500</v>
      </c>
      <c r="F613" s="12">
        <f t="shared" si="9"/>
        <v>61500</v>
      </c>
    </row>
    <row r="614" spans="1:6" x14ac:dyDescent="0.3">
      <c r="A614" s="3" t="s">
        <v>107</v>
      </c>
      <c r="B614" s="3" t="s">
        <v>213</v>
      </c>
      <c r="C614" s="5">
        <v>65000</v>
      </c>
      <c r="D614" s="5">
        <v>2000</v>
      </c>
      <c r="E614" s="5">
        <v>200</v>
      </c>
      <c r="F614" s="12">
        <f t="shared" si="9"/>
        <v>66800</v>
      </c>
    </row>
    <row r="615" spans="1:6" x14ac:dyDescent="0.3">
      <c r="A615" s="3" t="s">
        <v>115</v>
      </c>
      <c r="B615" s="3" t="s">
        <v>213</v>
      </c>
      <c r="C615" s="5">
        <v>35000</v>
      </c>
      <c r="D615" s="5">
        <v>2000</v>
      </c>
      <c r="E615" s="5">
        <v>300</v>
      </c>
      <c r="F615" s="12">
        <f t="shared" si="9"/>
        <v>36700</v>
      </c>
    </row>
    <row r="616" spans="1:6" x14ac:dyDescent="0.3">
      <c r="A616" s="3" t="s">
        <v>123</v>
      </c>
      <c r="B616" s="3" t="s">
        <v>213</v>
      </c>
      <c r="C616" s="5">
        <v>35000</v>
      </c>
      <c r="D616" s="5">
        <v>0</v>
      </c>
      <c r="E616" s="5">
        <v>300</v>
      </c>
      <c r="F616" s="12">
        <f t="shared" si="9"/>
        <v>34700</v>
      </c>
    </row>
    <row r="617" spans="1:6" x14ac:dyDescent="0.3">
      <c r="A617" s="3" t="s">
        <v>127</v>
      </c>
      <c r="B617" s="3" t="s">
        <v>213</v>
      </c>
      <c r="C617" s="5">
        <v>56000</v>
      </c>
      <c r="D617" s="5">
        <v>1000</v>
      </c>
      <c r="E617" s="5">
        <v>0</v>
      </c>
      <c r="F617" s="12">
        <f t="shared" si="9"/>
        <v>57000</v>
      </c>
    </row>
    <row r="618" spans="1:6" x14ac:dyDescent="0.3">
      <c r="A618" s="3" t="s">
        <v>131</v>
      </c>
      <c r="B618" s="3" t="s">
        <v>213</v>
      </c>
      <c r="C618" s="5">
        <v>32000</v>
      </c>
      <c r="D618" s="5">
        <v>0</v>
      </c>
      <c r="E618" s="5">
        <v>200</v>
      </c>
      <c r="F618" s="12">
        <f t="shared" si="9"/>
        <v>31800</v>
      </c>
    </row>
    <row r="619" spans="1:6" x14ac:dyDescent="0.3">
      <c r="A619" s="3" t="s">
        <v>135</v>
      </c>
      <c r="B619" s="3" t="s">
        <v>213</v>
      </c>
      <c r="C619" s="5">
        <v>48000</v>
      </c>
      <c r="D619" s="5">
        <v>500</v>
      </c>
      <c r="E619" s="5">
        <v>0</v>
      </c>
      <c r="F619" s="12">
        <f t="shared" si="9"/>
        <v>48500</v>
      </c>
    </row>
    <row r="620" spans="1:6" x14ac:dyDescent="0.3">
      <c r="A620" s="3" t="s">
        <v>139</v>
      </c>
      <c r="B620" s="3" t="s">
        <v>213</v>
      </c>
      <c r="C620" s="5">
        <v>42000</v>
      </c>
      <c r="D620" s="5">
        <v>0</v>
      </c>
      <c r="E620" s="5">
        <v>200</v>
      </c>
      <c r="F620" s="12">
        <f t="shared" si="9"/>
        <v>41800</v>
      </c>
    </row>
    <row r="621" spans="1:6" x14ac:dyDescent="0.3">
      <c r="A621" s="3" t="s">
        <v>143</v>
      </c>
      <c r="B621" s="3" t="s">
        <v>213</v>
      </c>
      <c r="C621" s="5">
        <v>32000</v>
      </c>
      <c r="D621" s="5">
        <v>1000</v>
      </c>
      <c r="E621" s="5">
        <v>500</v>
      </c>
      <c r="F621" s="12">
        <f t="shared" si="9"/>
        <v>32500</v>
      </c>
    </row>
    <row r="622" spans="1:6" x14ac:dyDescent="0.3">
      <c r="A622" s="3" t="s">
        <v>147</v>
      </c>
      <c r="B622" s="3" t="s">
        <v>213</v>
      </c>
      <c r="C622" s="5">
        <v>48000</v>
      </c>
      <c r="D622" s="5">
        <v>1500</v>
      </c>
      <c r="E622" s="5">
        <v>500</v>
      </c>
      <c r="F622" s="12">
        <f t="shared" si="9"/>
        <v>49000</v>
      </c>
    </row>
    <row r="623" spans="1:6" x14ac:dyDescent="0.3">
      <c r="A623" s="3" t="s">
        <v>151</v>
      </c>
      <c r="B623" s="3" t="s">
        <v>213</v>
      </c>
      <c r="C623" s="5">
        <v>65000</v>
      </c>
      <c r="D623" s="5">
        <v>0</v>
      </c>
      <c r="E623" s="5">
        <v>0</v>
      </c>
      <c r="F623" s="12">
        <f t="shared" si="9"/>
        <v>65000</v>
      </c>
    </row>
    <row r="624" spans="1:6" x14ac:dyDescent="0.3">
      <c r="A624" s="3" t="s">
        <v>155</v>
      </c>
      <c r="B624" s="3" t="s">
        <v>213</v>
      </c>
      <c r="C624" s="5">
        <v>52000</v>
      </c>
      <c r="D624" s="5">
        <v>500</v>
      </c>
      <c r="E624" s="5">
        <v>500</v>
      </c>
      <c r="F624" s="12">
        <f t="shared" si="9"/>
        <v>52000</v>
      </c>
    </row>
    <row r="625" spans="1:6" x14ac:dyDescent="0.3">
      <c r="A625" s="3" t="s">
        <v>159</v>
      </c>
      <c r="B625" s="3" t="s">
        <v>213</v>
      </c>
      <c r="C625" s="5">
        <v>52000</v>
      </c>
      <c r="D625" s="5">
        <v>1500</v>
      </c>
      <c r="E625" s="5">
        <v>0</v>
      </c>
      <c r="F625" s="12">
        <f t="shared" si="9"/>
        <v>53500</v>
      </c>
    </row>
    <row r="626" spans="1:6" x14ac:dyDescent="0.3">
      <c r="A626" s="3" t="s">
        <v>163</v>
      </c>
      <c r="B626" s="3" t="s">
        <v>213</v>
      </c>
      <c r="C626" s="5">
        <v>65000</v>
      </c>
      <c r="D626" s="5">
        <v>0</v>
      </c>
      <c r="E626" s="5">
        <v>500</v>
      </c>
      <c r="F626" s="12">
        <f t="shared" si="9"/>
        <v>64500</v>
      </c>
    </row>
    <row r="627" spans="1:6" x14ac:dyDescent="0.3">
      <c r="A627" s="3" t="s">
        <v>39</v>
      </c>
      <c r="B627" s="3" t="s">
        <v>214</v>
      </c>
      <c r="C627" s="5">
        <v>48000</v>
      </c>
      <c r="D627" s="5">
        <v>0</v>
      </c>
      <c r="E627" s="5">
        <v>0</v>
      </c>
      <c r="F627" s="12">
        <f t="shared" si="9"/>
        <v>48000</v>
      </c>
    </row>
    <row r="628" spans="1:6" x14ac:dyDescent="0.3">
      <c r="A628" s="3" t="s">
        <v>44</v>
      </c>
      <c r="B628" s="3" t="s">
        <v>214</v>
      </c>
      <c r="C628" s="5">
        <v>60000</v>
      </c>
      <c r="D628" s="5">
        <v>2000</v>
      </c>
      <c r="E628" s="5">
        <v>0</v>
      </c>
      <c r="F628" s="12">
        <f t="shared" si="9"/>
        <v>62000</v>
      </c>
    </row>
    <row r="629" spans="1:6" x14ac:dyDescent="0.3">
      <c r="A629" s="3" t="s">
        <v>49</v>
      </c>
      <c r="B629" s="3" t="s">
        <v>214</v>
      </c>
      <c r="C629" s="5">
        <v>65000</v>
      </c>
      <c r="D629" s="5">
        <v>1500</v>
      </c>
      <c r="E629" s="5">
        <v>500</v>
      </c>
      <c r="F629" s="12">
        <f t="shared" si="9"/>
        <v>66000</v>
      </c>
    </row>
    <row r="630" spans="1:6" x14ac:dyDescent="0.3">
      <c r="A630" s="3" t="s">
        <v>59</v>
      </c>
      <c r="B630" s="3" t="s">
        <v>214</v>
      </c>
      <c r="C630" s="5">
        <v>35000</v>
      </c>
      <c r="D630" s="5">
        <v>500</v>
      </c>
      <c r="E630" s="5">
        <v>200</v>
      </c>
      <c r="F630" s="12">
        <f t="shared" si="9"/>
        <v>35300</v>
      </c>
    </row>
    <row r="631" spans="1:6" x14ac:dyDescent="0.3">
      <c r="A631" s="3" t="s">
        <v>64</v>
      </c>
      <c r="B631" s="3" t="s">
        <v>214</v>
      </c>
      <c r="C631" s="5">
        <v>65000</v>
      </c>
      <c r="D631" s="5">
        <v>500</v>
      </c>
      <c r="E631" s="5">
        <v>0</v>
      </c>
      <c r="F631" s="12">
        <f t="shared" si="9"/>
        <v>65500</v>
      </c>
    </row>
    <row r="632" spans="1:6" x14ac:dyDescent="0.3">
      <c r="A632" s="3" t="s">
        <v>69</v>
      </c>
      <c r="B632" s="3" t="s">
        <v>214</v>
      </c>
      <c r="C632" s="5">
        <v>65000</v>
      </c>
      <c r="D632" s="5">
        <v>0</v>
      </c>
      <c r="E632" s="5">
        <v>500</v>
      </c>
      <c r="F632" s="12">
        <f t="shared" si="9"/>
        <v>64500</v>
      </c>
    </row>
    <row r="633" spans="1:6" x14ac:dyDescent="0.3">
      <c r="A633" s="3" t="s">
        <v>74</v>
      </c>
      <c r="B633" s="3" t="s">
        <v>214</v>
      </c>
      <c r="C633" s="5">
        <v>35000</v>
      </c>
      <c r="D633" s="5">
        <v>1000</v>
      </c>
      <c r="E633" s="5">
        <v>300</v>
      </c>
      <c r="F633" s="12">
        <f t="shared" si="9"/>
        <v>35700</v>
      </c>
    </row>
    <row r="634" spans="1:6" x14ac:dyDescent="0.3">
      <c r="A634" s="3" t="s">
        <v>79</v>
      </c>
      <c r="B634" s="3" t="s">
        <v>214</v>
      </c>
      <c r="C634" s="5">
        <v>35000</v>
      </c>
      <c r="D634" s="5">
        <v>0</v>
      </c>
      <c r="E634" s="5">
        <v>0</v>
      </c>
      <c r="F634" s="12">
        <f t="shared" si="9"/>
        <v>35000</v>
      </c>
    </row>
    <row r="635" spans="1:6" x14ac:dyDescent="0.3">
      <c r="A635" s="3" t="s">
        <v>83</v>
      </c>
      <c r="B635" s="3" t="s">
        <v>214</v>
      </c>
      <c r="C635" s="5">
        <v>56000</v>
      </c>
      <c r="D635" s="5">
        <v>1500</v>
      </c>
      <c r="E635" s="5">
        <v>300</v>
      </c>
      <c r="F635" s="12">
        <f t="shared" si="9"/>
        <v>57200</v>
      </c>
    </row>
    <row r="636" spans="1:6" x14ac:dyDescent="0.3">
      <c r="A636" s="3" t="s">
        <v>87</v>
      </c>
      <c r="B636" s="3" t="s">
        <v>214</v>
      </c>
      <c r="C636" s="5">
        <v>45000</v>
      </c>
      <c r="D636" s="5">
        <v>0</v>
      </c>
      <c r="E636" s="5">
        <v>500</v>
      </c>
      <c r="F636" s="12">
        <f t="shared" si="9"/>
        <v>44500</v>
      </c>
    </row>
    <row r="637" spans="1:6" x14ac:dyDescent="0.3">
      <c r="A637" s="3" t="s">
        <v>91</v>
      </c>
      <c r="B637" s="3" t="s">
        <v>214</v>
      </c>
      <c r="C637" s="5">
        <v>65000</v>
      </c>
      <c r="D637" s="5">
        <v>0</v>
      </c>
      <c r="E637" s="5">
        <v>300</v>
      </c>
      <c r="F637" s="12">
        <f t="shared" si="9"/>
        <v>64700</v>
      </c>
    </row>
    <row r="638" spans="1:6" x14ac:dyDescent="0.3">
      <c r="A638" s="3" t="s">
        <v>95</v>
      </c>
      <c r="B638" s="3" t="s">
        <v>214</v>
      </c>
      <c r="C638" s="5">
        <v>52000</v>
      </c>
      <c r="D638" s="5">
        <v>0</v>
      </c>
      <c r="E638" s="5">
        <v>0</v>
      </c>
      <c r="F638" s="12">
        <f t="shared" si="9"/>
        <v>52000</v>
      </c>
    </row>
    <row r="639" spans="1:6" x14ac:dyDescent="0.3">
      <c r="A639" s="3" t="s">
        <v>99</v>
      </c>
      <c r="B639" s="3" t="s">
        <v>214</v>
      </c>
      <c r="C639" s="5">
        <v>60000</v>
      </c>
      <c r="D639" s="5">
        <v>1500</v>
      </c>
      <c r="E639" s="5">
        <v>0</v>
      </c>
      <c r="F639" s="12">
        <f t="shared" si="9"/>
        <v>61500</v>
      </c>
    </row>
    <row r="640" spans="1:6" x14ac:dyDescent="0.3">
      <c r="A640" s="3" t="s">
        <v>107</v>
      </c>
      <c r="B640" s="3" t="s">
        <v>214</v>
      </c>
      <c r="C640" s="5">
        <v>65000</v>
      </c>
      <c r="D640" s="5">
        <v>0</v>
      </c>
      <c r="E640" s="5">
        <v>500</v>
      </c>
      <c r="F640" s="12">
        <f t="shared" si="9"/>
        <v>64500</v>
      </c>
    </row>
    <row r="641" spans="1:6" x14ac:dyDescent="0.3">
      <c r="A641" s="3" t="s">
        <v>115</v>
      </c>
      <c r="B641" s="3" t="s">
        <v>214</v>
      </c>
      <c r="C641" s="5">
        <v>35000</v>
      </c>
      <c r="D641" s="5">
        <v>1500</v>
      </c>
      <c r="E641" s="5">
        <v>0</v>
      </c>
      <c r="F641" s="12">
        <f t="shared" si="9"/>
        <v>36500</v>
      </c>
    </row>
    <row r="642" spans="1:6" x14ac:dyDescent="0.3">
      <c r="A642" s="3" t="s">
        <v>123</v>
      </c>
      <c r="B642" s="3" t="s">
        <v>214</v>
      </c>
      <c r="C642" s="5">
        <v>35000</v>
      </c>
      <c r="D642" s="5">
        <v>1000</v>
      </c>
      <c r="E642" s="5">
        <v>500</v>
      </c>
      <c r="F642" s="12">
        <f t="shared" ref="F642:F651" si="10">C642+D642-E642</f>
        <v>35500</v>
      </c>
    </row>
    <row r="643" spans="1:6" x14ac:dyDescent="0.3">
      <c r="A643" s="3" t="s">
        <v>127</v>
      </c>
      <c r="B643" s="3" t="s">
        <v>214</v>
      </c>
      <c r="C643" s="5">
        <v>56000</v>
      </c>
      <c r="D643" s="5">
        <v>1500</v>
      </c>
      <c r="E643" s="5">
        <v>0</v>
      </c>
      <c r="F643" s="12">
        <f t="shared" si="10"/>
        <v>57500</v>
      </c>
    </row>
    <row r="644" spans="1:6" x14ac:dyDescent="0.3">
      <c r="A644" s="3" t="s">
        <v>131</v>
      </c>
      <c r="B644" s="3" t="s">
        <v>214</v>
      </c>
      <c r="C644" s="5">
        <v>32000</v>
      </c>
      <c r="D644" s="5">
        <v>1000</v>
      </c>
      <c r="E644" s="5">
        <v>0</v>
      </c>
      <c r="F644" s="12">
        <f t="shared" si="10"/>
        <v>33000</v>
      </c>
    </row>
    <row r="645" spans="1:6" x14ac:dyDescent="0.3">
      <c r="A645" s="3" t="s">
        <v>135</v>
      </c>
      <c r="B645" s="3" t="s">
        <v>214</v>
      </c>
      <c r="C645" s="5">
        <v>48000</v>
      </c>
      <c r="D645" s="5">
        <v>0</v>
      </c>
      <c r="E645" s="5">
        <v>0</v>
      </c>
      <c r="F645" s="12">
        <f t="shared" si="10"/>
        <v>48000</v>
      </c>
    </row>
    <row r="646" spans="1:6" x14ac:dyDescent="0.3">
      <c r="A646" s="3" t="s">
        <v>139</v>
      </c>
      <c r="B646" s="3" t="s">
        <v>214</v>
      </c>
      <c r="C646" s="5">
        <v>42000</v>
      </c>
      <c r="D646" s="5">
        <v>0</v>
      </c>
      <c r="E646" s="5">
        <v>300</v>
      </c>
      <c r="F646" s="12">
        <f t="shared" si="10"/>
        <v>41700</v>
      </c>
    </row>
    <row r="647" spans="1:6" x14ac:dyDescent="0.3">
      <c r="A647" s="3" t="s">
        <v>143</v>
      </c>
      <c r="B647" s="3" t="s">
        <v>214</v>
      </c>
      <c r="C647" s="5">
        <v>32000</v>
      </c>
      <c r="D647" s="5">
        <v>0</v>
      </c>
      <c r="E647" s="5">
        <v>200</v>
      </c>
      <c r="F647" s="12">
        <f t="shared" si="10"/>
        <v>31800</v>
      </c>
    </row>
    <row r="648" spans="1:6" x14ac:dyDescent="0.3">
      <c r="A648" s="3" t="s">
        <v>147</v>
      </c>
      <c r="B648" s="3" t="s">
        <v>214</v>
      </c>
      <c r="C648" s="5">
        <v>48000</v>
      </c>
      <c r="D648" s="5">
        <v>1500</v>
      </c>
      <c r="E648" s="5">
        <v>500</v>
      </c>
      <c r="F648" s="12">
        <f t="shared" si="10"/>
        <v>49000</v>
      </c>
    </row>
    <row r="649" spans="1:6" x14ac:dyDescent="0.3">
      <c r="A649" s="3" t="s">
        <v>151</v>
      </c>
      <c r="B649" s="3" t="s">
        <v>214</v>
      </c>
      <c r="C649" s="5">
        <v>65000</v>
      </c>
      <c r="D649" s="5">
        <v>0</v>
      </c>
      <c r="E649" s="5">
        <v>300</v>
      </c>
      <c r="F649" s="12">
        <f t="shared" si="10"/>
        <v>64700</v>
      </c>
    </row>
    <row r="650" spans="1:6" x14ac:dyDescent="0.3">
      <c r="A650" s="3" t="s">
        <v>155</v>
      </c>
      <c r="B650" s="3" t="s">
        <v>214</v>
      </c>
      <c r="C650" s="5">
        <v>52000</v>
      </c>
      <c r="D650" s="5">
        <v>0</v>
      </c>
      <c r="E650" s="5">
        <v>300</v>
      </c>
      <c r="F650" s="12">
        <f t="shared" si="10"/>
        <v>51700</v>
      </c>
    </row>
    <row r="651" spans="1:6" x14ac:dyDescent="0.3">
      <c r="A651" s="3" t="s">
        <v>159</v>
      </c>
      <c r="B651" s="3" t="s">
        <v>214</v>
      </c>
      <c r="C651" s="5">
        <v>52000</v>
      </c>
      <c r="D651" s="5">
        <v>500</v>
      </c>
      <c r="E651" s="5">
        <v>500</v>
      </c>
      <c r="F651" s="12">
        <f t="shared" si="10"/>
        <v>52000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8" customWidth="1"/>
    <col min="3" max="3" width="12" customWidth="1"/>
    <col min="4" max="4" width="32" customWidth="1"/>
  </cols>
  <sheetData>
    <row r="1" spans="1:4" ht="27.6" x14ac:dyDescent="0.3">
      <c r="A1" s="2" t="s">
        <v>28</v>
      </c>
      <c r="B1" s="2" t="s">
        <v>302</v>
      </c>
      <c r="C1" s="2" t="s">
        <v>303</v>
      </c>
      <c r="D1" s="2" t="s">
        <v>304</v>
      </c>
    </row>
    <row r="2" spans="1:4" x14ac:dyDescent="0.3">
      <c r="A2" s="3" t="s">
        <v>39</v>
      </c>
      <c r="B2" s="3">
        <v>2024</v>
      </c>
      <c r="C2" s="3">
        <v>4</v>
      </c>
      <c r="D2" s="3" t="s">
        <v>305</v>
      </c>
    </row>
    <row r="3" spans="1:4" x14ac:dyDescent="0.3">
      <c r="A3" s="3" t="s">
        <v>44</v>
      </c>
      <c r="B3" s="3">
        <v>2024</v>
      </c>
      <c r="C3" s="3">
        <v>4</v>
      </c>
      <c r="D3" s="3" t="s">
        <v>306</v>
      </c>
    </row>
    <row r="4" spans="1:4" x14ac:dyDescent="0.3">
      <c r="A4" s="3" t="s">
        <v>49</v>
      </c>
      <c r="B4" s="3">
        <v>2024</v>
      </c>
      <c r="C4" s="3">
        <v>3</v>
      </c>
      <c r="D4" s="3" t="s">
        <v>306</v>
      </c>
    </row>
    <row r="5" spans="1:4" x14ac:dyDescent="0.3">
      <c r="A5" s="3" t="s">
        <v>54</v>
      </c>
      <c r="B5" s="3">
        <v>2024</v>
      </c>
      <c r="C5" s="3">
        <v>4</v>
      </c>
      <c r="D5" s="3" t="s">
        <v>307</v>
      </c>
    </row>
    <row r="6" spans="1:4" x14ac:dyDescent="0.3">
      <c r="A6" s="3" t="s">
        <v>59</v>
      </c>
      <c r="B6" s="3">
        <v>2024</v>
      </c>
      <c r="C6" s="3">
        <v>3</v>
      </c>
      <c r="D6" s="3" t="s">
        <v>308</v>
      </c>
    </row>
    <row r="7" spans="1:4" x14ac:dyDescent="0.3">
      <c r="A7" s="3" t="s">
        <v>64</v>
      </c>
      <c r="B7" s="3">
        <v>2024</v>
      </c>
      <c r="C7" s="3">
        <v>3</v>
      </c>
      <c r="D7" s="3" t="s">
        <v>309</v>
      </c>
    </row>
    <row r="8" spans="1:4" x14ac:dyDescent="0.3">
      <c r="A8" s="3" t="s">
        <v>69</v>
      </c>
      <c r="B8" s="3">
        <v>2024</v>
      </c>
      <c r="C8" s="3">
        <v>4</v>
      </c>
      <c r="D8" s="3" t="s">
        <v>310</v>
      </c>
    </row>
    <row r="9" spans="1:4" x14ac:dyDescent="0.3">
      <c r="A9" s="3" t="s">
        <v>74</v>
      </c>
      <c r="B9" s="3">
        <v>2024</v>
      </c>
      <c r="C9" s="3">
        <v>4</v>
      </c>
      <c r="D9" s="3" t="s">
        <v>306</v>
      </c>
    </row>
    <row r="10" spans="1:4" x14ac:dyDescent="0.3">
      <c r="A10" s="3" t="s">
        <v>79</v>
      </c>
      <c r="B10" s="3">
        <v>2024</v>
      </c>
      <c r="C10" s="3">
        <v>3</v>
      </c>
      <c r="D10" s="3" t="s">
        <v>306</v>
      </c>
    </row>
    <row r="11" spans="1:4" x14ac:dyDescent="0.3">
      <c r="A11" s="3" t="s">
        <v>83</v>
      </c>
      <c r="B11" s="3">
        <v>2024</v>
      </c>
      <c r="C11" s="3">
        <v>3</v>
      </c>
      <c r="D11" s="3" t="s">
        <v>310</v>
      </c>
    </row>
    <row r="12" spans="1:4" x14ac:dyDescent="0.3">
      <c r="A12" s="3" t="s">
        <v>87</v>
      </c>
      <c r="B12" s="3">
        <v>2024</v>
      </c>
      <c r="C12" s="3">
        <v>4</v>
      </c>
      <c r="D12" s="3" t="s">
        <v>308</v>
      </c>
    </row>
    <row r="13" spans="1:4" x14ac:dyDescent="0.3">
      <c r="A13" s="3" t="s">
        <v>91</v>
      </c>
      <c r="B13" s="3">
        <v>2024</v>
      </c>
      <c r="C13" s="3">
        <v>4</v>
      </c>
      <c r="D13" s="3" t="s">
        <v>307</v>
      </c>
    </row>
    <row r="14" spans="1:4" x14ac:dyDescent="0.3">
      <c r="A14" s="3" t="s">
        <v>95</v>
      </c>
      <c r="B14" s="3">
        <v>2024</v>
      </c>
      <c r="C14" s="3">
        <v>3</v>
      </c>
      <c r="D14" s="3" t="s">
        <v>310</v>
      </c>
    </row>
    <row r="15" spans="1:4" x14ac:dyDescent="0.3">
      <c r="A15" s="3" t="s">
        <v>99</v>
      </c>
      <c r="B15" s="3">
        <v>2024</v>
      </c>
      <c r="C15" s="3">
        <v>3</v>
      </c>
      <c r="D15" s="3" t="s">
        <v>305</v>
      </c>
    </row>
    <row r="16" spans="1:4" x14ac:dyDescent="0.3">
      <c r="A16" s="3" t="s">
        <v>103</v>
      </c>
      <c r="B16" s="3">
        <v>2024</v>
      </c>
      <c r="C16" s="3">
        <v>3</v>
      </c>
      <c r="D16" s="3" t="s">
        <v>307</v>
      </c>
    </row>
    <row r="17" spans="1:4" x14ac:dyDescent="0.3">
      <c r="A17" s="3" t="s">
        <v>107</v>
      </c>
      <c r="B17" s="3">
        <v>2024</v>
      </c>
      <c r="C17" s="3">
        <v>4</v>
      </c>
      <c r="D17" s="3" t="s">
        <v>307</v>
      </c>
    </row>
    <row r="18" spans="1:4" x14ac:dyDescent="0.3">
      <c r="A18" s="3" t="s">
        <v>111</v>
      </c>
      <c r="B18" s="3">
        <v>2024</v>
      </c>
      <c r="C18" s="3">
        <v>5</v>
      </c>
      <c r="D18" s="3" t="s">
        <v>310</v>
      </c>
    </row>
    <row r="19" spans="1:4" x14ac:dyDescent="0.3">
      <c r="A19" s="3" t="s">
        <v>115</v>
      </c>
      <c r="B19" s="3">
        <v>2024</v>
      </c>
      <c r="C19" s="3">
        <v>5</v>
      </c>
      <c r="D19" s="3" t="s">
        <v>305</v>
      </c>
    </row>
    <row r="20" spans="1:4" x14ac:dyDescent="0.3">
      <c r="A20" s="3" t="s">
        <v>119</v>
      </c>
      <c r="B20" s="3">
        <v>2024</v>
      </c>
      <c r="C20" s="3">
        <v>3</v>
      </c>
      <c r="D20" s="3" t="s">
        <v>308</v>
      </c>
    </row>
    <row r="21" spans="1:4" x14ac:dyDescent="0.3">
      <c r="A21" s="3" t="s">
        <v>123</v>
      </c>
      <c r="B21" s="3">
        <v>2024</v>
      </c>
      <c r="C21" s="3">
        <v>2</v>
      </c>
      <c r="D21" s="3" t="s">
        <v>308</v>
      </c>
    </row>
    <row r="22" spans="1:4" x14ac:dyDescent="0.3">
      <c r="A22" s="3" t="s">
        <v>127</v>
      </c>
      <c r="B22" s="3">
        <v>2024</v>
      </c>
      <c r="C22" s="3">
        <v>5</v>
      </c>
      <c r="D22" s="3" t="s">
        <v>311</v>
      </c>
    </row>
    <row r="23" spans="1:4" x14ac:dyDescent="0.3">
      <c r="A23" s="3" t="s">
        <v>131</v>
      </c>
      <c r="B23" s="3">
        <v>2024</v>
      </c>
      <c r="C23" s="3">
        <v>4</v>
      </c>
      <c r="D23" s="3" t="s">
        <v>310</v>
      </c>
    </row>
    <row r="24" spans="1:4" x14ac:dyDescent="0.3">
      <c r="A24" s="3" t="s">
        <v>135</v>
      </c>
      <c r="B24" s="3">
        <v>2024</v>
      </c>
      <c r="C24" s="3">
        <v>3</v>
      </c>
      <c r="D24" s="3" t="s">
        <v>311</v>
      </c>
    </row>
    <row r="25" spans="1:4" x14ac:dyDescent="0.3">
      <c r="A25" s="3" t="s">
        <v>139</v>
      </c>
      <c r="B25" s="3">
        <v>2024</v>
      </c>
      <c r="C25" s="3">
        <v>2</v>
      </c>
      <c r="D25" s="3" t="s">
        <v>311</v>
      </c>
    </row>
    <row r="26" spans="1:4" x14ac:dyDescent="0.3">
      <c r="A26" s="3" t="s">
        <v>143</v>
      </c>
      <c r="B26" s="3">
        <v>2024</v>
      </c>
      <c r="C26" s="3">
        <v>2</v>
      </c>
      <c r="D26" s="3" t="s">
        <v>311</v>
      </c>
    </row>
    <row r="27" spans="1:4" x14ac:dyDescent="0.3">
      <c r="A27" s="3" t="s">
        <v>147</v>
      </c>
      <c r="B27" s="3">
        <v>2024</v>
      </c>
      <c r="C27" s="3">
        <v>5</v>
      </c>
      <c r="D27" s="3" t="s">
        <v>312</v>
      </c>
    </row>
    <row r="28" spans="1:4" x14ac:dyDescent="0.3">
      <c r="A28" s="3" t="s">
        <v>151</v>
      </c>
      <c r="B28" s="3">
        <v>2024</v>
      </c>
      <c r="C28" s="3">
        <v>4</v>
      </c>
      <c r="D28" s="3" t="s">
        <v>305</v>
      </c>
    </row>
    <row r="29" spans="1:4" x14ac:dyDescent="0.3">
      <c r="A29" s="3" t="s">
        <v>155</v>
      </c>
      <c r="B29" s="3">
        <v>2024</v>
      </c>
      <c r="C29" s="3">
        <v>3</v>
      </c>
      <c r="D29" s="3" t="s">
        <v>308</v>
      </c>
    </row>
    <row r="30" spans="1:4" x14ac:dyDescent="0.3">
      <c r="A30" s="3" t="s">
        <v>159</v>
      </c>
      <c r="B30" s="3">
        <v>2024</v>
      </c>
      <c r="C30" s="3">
        <v>3</v>
      </c>
      <c r="D30" s="3" t="s">
        <v>311</v>
      </c>
    </row>
    <row r="31" spans="1:4" x14ac:dyDescent="0.3">
      <c r="A31" s="3" t="s">
        <v>163</v>
      </c>
      <c r="B31" s="3">
        <v>2024</v>
      </c>
      <c r="C31" s="3">
        <v>3</v>
      </c>
      <c r="D31" s="3" t="s">
        <v>310</v>
      </c>
    </row>
    <row r="32" spans="1:4" x14ac:dyDescent="0.3">
      <c r="A32" s="3" t="s">
        <v>39</v>
      </c>
      <c r="B32" s="3">
        <v>2025</v>
      </c>
      <c r="C32" s="3">
        <v>3</v>
      </c>
      <c r="D32" s="3" t="s">
        <v>306</v>
      </c>
    </row>
    <row r="33" spans="1:4" x14ac:dyDescent="0.3">
      <c r="A33" s="3" t="s">
        <v>44</v>
      </c>
      <c r="B33" s="3">
        <v>2025</v>
      </c>
      <c r="C33" s="3">
        <v>5</v>
      </c>
      <c r="D33" s="3" t="s">
        <v>307</v>
      </c>
    </row>
    <row r="34" spans="1:4" x14ac:dyDescent="0.3">
      <c r="A34" s="3" t="s">
        <v>49</v>
      </c>
      <c r="B34" s="3">
        <v>2025</v>
      </c>
      <c r="C34" s="3">
        <v>4</v>
      </c>
      <c r="D34" s="3" t="s">
        <v>311</v>
      </c>
    </row>
    <row r="35" spans="1:4" x14ac:dyDescent="0.3">
      <c r="A35" s="3" t="s">
        <v>59</v>
      </c>
      <c r="B35" s="3">
        <v>2025</v>
      </c>
      <c r="C35" s="3">
        <v>4</v>
      </c>
      <c r="D35" s="3" t="s">
        <v>306</v>
      </c>
    </row>
    <row r="36" spans="1:4" x14ac:dyDescent="0.3">
      <c r="A36" s="3" t="s">
        <v>64</v>
      </c>
      <c r="B36" s="3">
        <v>2025</v>
      </c>
      <c r="C36" s="3">
        <v>4</v>
      </c>
      <c r="D36" s="3" t="s">
        <v>310</v>
      </c>
    </row>
    <row r="37" spans="1:4" x14ac:dyDescent="0.3">
      <c r="A37" s="3" t="s">
        <v>69</v>
      </c>
      <c r="B37" s="3">
        <v>2025</v>
      </c>
      <c r="C37" s="3">
        <v>3</v>
      </c>
      <c r="D37" s="3" t="s">
        <v>312</v>
      </c>
    </row>
    <row r="38" spans="1:4" x14ac:dyDescent="0.3">
      <c r="A38" s="3" t="s">
        <v>74</v>
      </c>
      <c r="B38" s="3">
        <v>2025</v>
      </c>
      <c r="C38" s="3">
        <v>5</v>
      </c>
      <c r="D38" s="3" t="s">
        <v>311</v>
      </c>
    </row>
    <row r="39" spans="1:4" x14ac:dyDescent="0.3">
      <c r="A39" s="3" t="s">
        <v>79</v>
      </c>
      <c r="B39" s="3">
        <v>2025</v>
      </c>
      <c r="C39" s="3">
        <v>3</v>
      </c>
      <c r="D39" s="3" t="s">
        <v>309</v>
      </c>
    </row>
    <row r="40" spans="1:4" x14ac:dyDescent="0.3">
      <c r="A40" s="3" t="s">
        <v>83</v>
      </c>
      <c r="B40" s="3">
        <v>2025</v>
      </c>
      <c r="C40" s="3">
        <v>5</v>
      </c>
      <c r="D40" s="3" t="s">
        <v>306</v>
      </c>
    </row>
    <row r="41" spans="1:4" x14ac:dyDescent="0.3">
      <c r="A41" s="3" t="s">
        <v>87</v>
      </c>
      <c r="B41" s="3">
        <v>2025</v>
      </c>
      <c r="C41" s="3">
        <v>4</v>
      </c>
      <c r="D41" s="3" t="s">
        <v>305</v>
      </c>
    </row>
    <row r="42" spans="1:4" x14ac:dyDescent="0.3">
      <c r="A42" s="3" t="s">
        <v>91</v>
      </c>
      <c r="B42" s="3">
        <v>2025</v>
      </c>
      <c r="C42" s="3">
        <v>2</v>
      </c>
      <c r="D42" s="3" t="s">
        <v>308</v>
      </c>
    </row>
    <row r="43" spans="1:4" x14ac:dyDescent="0.3">
      <c r="A43" s="3" t="s">
        <v>95</v>
      </c>
      <c r="B43" s="3">
        <v>2025</v>
      </c>
      <c r="C43" s="3">
        <v>3</v>
      </c>
      <c r="D43" s="3" t="s">
        <v>310</v>
      </c>
    </row>
    <row r="44" spans="1:4" x14ac:dyDescent="0.3">
      <c r="A44" s="3" t="s">
        <v>99</v>
      </c>
      <c r="B44" s="3">
        <v>2025</v>
      </c>
      <c r="C44" s="3">
        <v>4</v>
      </c>
      <c r="D44" s="3" t="s">
        <v>311</v>
      </c>
    </row>
    <row r="45" spans="1:4" x14ac:dyDescent="0.3">
      <c r="A45" s="3" t="s">
        <v>107</v>
      </c>
      <c r="B45" s="3">
        <v>2025</v>
      </c>
      <c r="C45" s="3">
        <v>4</v>
      </c>
      <c r="D45" s="3" t="s">
        <v>305</v>
      </c>
    </row>
    <row r="46" spans="1:4" x14ac:dyDescent="0.3">
      <c r="A46" s="3" t="s">
        <v>111</v>
      </c>
      <c r="B46" s="3">
        <v>2025</v>
      </c>
      <c r="C46" s="3">
        <v>4</v>
      </c>
      <c r="D46" s="3" t="s">
        <v>312</v>
      </c>
    </row>
    <row r="47" spans="1:4" x14ac:dyDescent="0.3">
      <c r="A47" s="3" t="s">
        <v>115</v>
      </c>
      <c r="B47" s="3">
        <v>2025</v>
      </c>
      <c r="C47" s="3">
        <v>4</v>
      </c>
      <c r="D47" s="3" t="s">
        <v>305</v>
      </c>
    </row>
    <row r="48" spans="1:4" x14ac:dyDescent="0.3">
      <c r="A48" s="3" t="s">
        <v>119</v>
      </c>
      <c r="B48" s="3">
        <v>2025</v>
      </c>
      <c r="C48" s="3">
        <v>5</v>
      </c>
      <c r="D48" s="3" t="s">
        <v>308</v>
      </c>
    </row>
    <row r="49" spans="1:4" x14ac:dyDescent="0.3">
      <c r="A49" s="3" t="s">
        <v>123</v>
      </c>
      <c r="B49" s="3">
        <v>2025</v>
      </c>
      <c r="C49" s="3">
        <v>4</v>
      </c>
      <c r="D49" s="3" t="s">
        <v>310</v>
      </c>
    </row>
    <row r="50" spans="1:4" x14ac:dyDescent="0.3">
      <c r="A50" s="3" t="s">
        <v>127</v>
      </c>
      <c r="B50" s="3">
        <v>2025</v>
      </c>
      <c r="C50" s="3">
        <v>3</v>
      </c>
      <c r="D50" s="3" t="s">
        <v>310</v>
      </c>
    </row>
    <row r="51" spans="1:4" x14ac:dyDescent="0.3">
      <c r="A51" s="3" t="s">
        <v>131</v>
      </c>
      <c r="B51" s="3">
        <v>2025</v>
      </c>
      <c r="C51" s="3">
        <v>4</v>
      </c>
      <c r="D51" s="3" t="s">
        <v>309</v>
      </c>
    </row>
    <row r="52" spans="1:4" x14ac:dyDescent="0.3">
      <c r="A52" s="3" t="s">
        <v>135</v>
      </c>
      <c r="B52" s="3">
        <v>2025</v>
      </c>
      <c r="C52" s="3">
        <v>4</v>
      </c>
      <c r="D52" s="3" t="s">
        <v>308</v>
      </c>
    </row>
    <row r="53" spans="1:4" x14ac:dyDescent="0.3">
      <c r="A53" s="3" t="s">
        <v>139</v>
      </c>
      <c r="B53" s="3">
        <v>2025</v>
      </c>
      <c r="C53" s="3">
        <v>4</v>
      </c>
      <c r="D53" s="3" t="s">
        <v>310</v>
      </c>
    </row>
    <row r="54" spans="1:4" x14ac:dyDescent="0.3">
      <c r="A54" s="3" t="s">
        <v>143</v>
      </c>
      <c r="B54" s="3">
        <v>2025</v>
      </c>
      <c r="C54" s="3">
        <v>4</v>
      </c>
      <c r="D54" s="3" t="s">
        <v>310</v>
      </c>
    </row>
    <row r="55" spans="1:4" x14ac:dyDescent="0.3">
      <c r="A55" s="3" t="s">
        <v>147</v>
      </c>
      <c r="B55" s="3">
        <v>2025</v>
      </c>
      <c r="C55" s="3">
        <v>5</v>
      </c>
      <c r="D55" s="3" t="s">
        <v>311</v>
      </c>
    </row>
    <row r="56" spans="1:4" x14ac:dyDescent="0.3">
      <c r="A56" s="3" t="s">
        <v>151</v>
      </c>
      <c r="B56" s="3">
        <v>2025</v>
      </c>
      <c r="C56" s="3">
        <v>4</v>
      </c>
      <c r="D56" s="3" t="s">
        <v>310</v>
      </c>
    </row>
    <row r="57" spans="1:4" x14ac:dyDescent="0.3">
      <c r="A57" s="3" t="s">
        <v>155</v>
      </c>
      <c r="B57" s="3">
        <v>2025</v>
      </c>
      <c r="C57" s="3">
        <v>5</v>
      </c>
      <c r="D57" s="3" t="s">
        <v>307</v>
      </c>
    </row>
    <row r="58" spans="1:4" x14ac:dyDescent="0.3">
      <c r="A58" s="3" t="s">
        <v>159</v>
      </c>
      <c r="B58" s="3">
        <v>2025</v>
      </c>
      <c r="C58" s="3">
        <v>3</v>
      </c>
      <c r="D58" s="3" t="s">
        <v>310</v>
      </c>
    </row>
    <row r="59" spans="1:4" x14ac:dyDescent="0.3">
      <c r="A59" s="3" t="s">
        <v>163</v>
      </c>
      <c r="B59" s="3">
        <v>2025</v>
      </c>
      <c r="C59" s="3">
        <v>2</v>
      </c>
      <c r="D59" s="3" t="s">
        <v>312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14" customWidth="1"/>
    <col min="3" max="3" width="18" customWidth="1"/>
    <col min="4" max="4" width="12" customWidth="1"/>
    <col min="5" max="5" width="11" customWidth="1"/>
    <col min="6" max="6" width="14" customWidth="1"/>
  </cols>
  <sheetData>
    <row r="1" spans="1:6" ht="27.6" x14ac:dyDescent="0.3">
      <c r="A1" s="2" t="s">
        <v>313</v>
      </c>
      <c r="B1" s="2" t="s">
        <v>314</v>
      </c>
      <c r="C1" s="2" t="s">
        <v>315</v>
      </c>
      <c r="D1" s="2" t="s">
        <v>30</v>
      </c>
      <c r="E1" s="2" t="s">
        <v>181</v>
      </c>
      <c r="F1" s="2" t="s">
        <v>316</v>
      </c>
    </row>
    <row r="2" spans="1:6" x14ac:dyDescent="0.3">
      <c r="A2" s="3" t="s">
        <v>317</v>
      </c>
      <c r="B2" s="3" t="s">
        <v>318</v>
      </c>
      <c r="C2" s="3" t="s">
        <v>319</v>
      </c>
      <c r="D2" s="3" t="s">
        <v>6</v>
      </c>
      <c r="E2" s="3" t="s">
        <v>185</v>
      </c>
      <c r="F2" s="4">
        <v>45905</v>
      </c>
    </row>
    <row r="3" spans="1:6" x14ac:dyDescent="0.3">
      <c r="A3" s="3" t="s">
        <v>320</v>
      </c>
      <c r="B3" s="3" t="s">
        <v>164</v>
      </c>
      <c r="C3" s="3" t="s">
        <v>319</v>
      </c>
      <c r="D3" s="3" t="s">
        <v>6</v>
      </c>
      <c r="E3" s="3" t="s">
        <v>184</v>
      </c>
      <c r="F3" s="4">
        <v>45793</v>
      </c>
    </row>
    <row r="4" spans="1:6" x14ac:dyDescent="0.3">
      <c r="A4" s="3" t="s">
        <v>321</v>
      </c>
      <c r="B4" s="3" t="s">
        <v>322</v>
      </c>
      <c r="C4" s="3" t="s">
        <v>323</v>
      </c>
      <c r="D4" s="3" t="s">
        <v>22</v>
      </c>
      <c r="E4" s="3" t="s">
        <v>183</v>
      </c>
      <c r="F4" s="4">
        <v>45851</v>
      </c>
    </row>
    <row r="5" spans="1:6" x14ac:dyDescent="0.3">
      <c r="A5" s="3" t="s">
        <v>324</v>
      </c>
      <c r="B5" s="3" t="s">
        <v>325</v>
      </c>
      <c r="C5" s="3" t="s">
        <v>326</v>
      </c>
      <c r="D5" s="3" t="s">
        <v>12</v>
      </c>
      <c r="E5" s="3" t="s">
        <v>186</v>
      </c>
      <c r="F5" s="4">
        <v>45885</v>
      </c>
    </row>
    <row r="6" spans="1:6" x14ac:dyDescent="0.3">
      <c r="A6" s="3" t="s">
        <v>327</v>
      </c>
      <c r="B6" s="3" t="s">
        <v>328</v>
      </c>
      <c r="C6" s="3" t="s">
        <v>323</v>
      </c>
      <c r="D6" s="3" t="s">
        <v>22</v>
      </c>
      <c r="E6" s="3" t="s">
        <v>186</v>
      </c>
      <c r="F6" s="4">
        <v>45855</v>
      </c>
    </row>
    <row r="7" spans="1:6" x14ac:dyDescent="0.3">
      <c r="A7" s="3" t="s">
        <v>329</v>
      </c>
      <c r="B7" s="3" t="s">
        <v>330</v>
      </c>
      <c r="C7" s="3" t="s">
        <v>323</v>
      </c>
      <c r="D7" s="3" t="s">
        <v>22</v>
      </c>
      <c r="E7" s="3" t="s">
        <v>184</v>
      </c>
      <c r="F7" s="4">
        <v>46019</v>
      </c>
    </row>
    <row r="8" spans="1:6" x14ac:dyDescent="0.3">
      <c r="A8" s="3" t="s">
        <v>331</v>
      </c>
      <c r="B8" s="3" t="s">
        <v>332</v>
      </c>
      <c r="C8" s="3" t="s">
        <v>326</v>
      </c>
      <c r="D8" s="3" t="s">
        <v>12</v>
      </c>
      <c r="E8" s="3" t="s">
        <v>187</v>
      </c>
      <c r="F8" s="4">
        <v>45815</v>
      </c>
    </row>
    <row r="9" spans="1:6" x14ac:dyDescent="0.3">
      <c r="A9" s="3" t="s">
        <v>333</v>
      </c>
      <c r="B9" s="3" t="s">
        <v>334</v>
      </c>
      <c r="C9" s="3" t="s">
        <v>319</v>
      </c>
      <c r="D9" s="3" t="s">
        <v>6</v>
      </c>
      <c r="E9" s="3" t="s">
        <v>185</v>
      </c>
      <c r="F9" s="4">
        <v>45737</v>
      </c>
    </row>
    <row r="10" spans="1:6" x14ac:dyDescent="0.3">
      <c r="A10" s="3" t="s">
        <v>335</v>
      </c>
      <c r="B10" s="3" t="s">
        <v>336</v>
      </c>
      <c r="C10" s="3" t="s">
        <v>337</v>
      </c>
      <c r="D10" s="3" t="s">
        <v>18</v>
      </c>
      <c r="E10" s="3" t="s">
        <v>185</v>
      </c>
      <c r="F10" s="4">
        <v>45922</v>
      </c>
    </row>
    <row r="11" spans="1:6" x14ac:dyDescent="0.3">
      <c r="A11" s="3" t="s">
        <v>338</v>
      </c>
      <c r="B11" s="3" t="s">
        <v>339</v>
      </c>
      <c r="C11" s="3" t="s">
        <v>323</v>
      </c>
      <c r="D11" s="3" t="s">
        <v>22</v>
      </c>
      <c r="E11" s="3" t="s">
        <v>185</v>
      </c>
      <c r="F11" s="4">
        <v>45957</v>
      </c>
    </row>
    <row r="12" spans="1:6" x14ac:dyDescent="0.3">
      <c r="A12" s="3" t="s">
        <v>340</v>
      </c>
      <c r="B12" s="3" t="s">
        <v>341</v>
      </c>
      <c r="C12" s="3" t="s">
        <v>323</v>
      </c>
      <c r="D12" s="3" t="s">
        <v>22</v>
      </c>
      <c r="E12" s="3" t="s">
        <v>185</v>
      </c>
      <c r="F12" s="4">
        <v>45935</v>
      </c>
    </row>
    <row r="13" spans="1:6" x14ac:dyDescent="0.3">
      <c r="A13" s="3" t="s">
        <v>342</v>
      </c>
      <c r="B13" s="3" t="s">
        <v>343</v>
      </c>
      <c r="C13" s="3" t="s">
        <v>323</v>
      </c>
      <c r="D13" s="3" t="s">
        <v>22</v>
      </c>
      <c r="E13" s="3" t="s">
        <v>187</v>
      </c>
      <c r="F13" s="4">
        <v>45849</v>
      </c>
    </row>
    <row r="14" spans="1:6" x14ac:dyDescent="0.3">
      <c r="A14" s="3" t="s">
        <v>344</v>
      </c>
      <c r="B14" s="3" t="s">
        <v>345</v>
      </c>
      <c r="C14" s="3" t="s">
        <v>319</v>
      </c>
      <c r="D14" s="3" t="s">
        <v>6</v>
      </c>
      <c r="E14" s="3" t="s">
        <v>186</v>
      </c>
      <c r="F14" s="4">
        <v>45768</v>
      </c>
    </row>
    <row r="15" spans="1:6" x14ac:dyDescent="0.3">
      <c r="A15" s="3" t="s">
        <v>346</v>
      </c>
      <c r="B15" s="3" t="s">
        <v>347</v>
      </c>
      <c r="C15" s="3" t="s">
        <v>337</v>
      </c>
      <c r="D15" s="3" t="s">
        <v>18</v>
      </c>
      <c r="E15" s="3" t="s">
        <v>185</v>
      </c>
      <c r="F15" s="4">
        <v>45857</v>
      </c>
    </row>
    <row r="16" spans="1:6" x14ac:dyDescent="0.3">
      <c r="A16" s="3" t="s">
        <v>348</v>
      </c>
      <c r="B16" s="3" t="s">
        <v>349</v>
      </c>
      <c r="C16" s="3" t="s">
        <v>319</v>
      </c>
      <c r="D16" s="3" t="s">
        <v>6</v>
      </c>
      <c r="E16" s="3" t="s">
        <v>184</v>
      </c>
      <c r="F16" s="4">
        <v>45714</v>
      </c>
    </row>
    <row r="17" spans="1:6" x14ac:dyDescent="0.3">
      <c r="A17" s="3" t="s">
        <v>350</v>
      </c>
      <c r="B17" s="3" t="s">
        <v>351</v>
      </c>
      <c r="C17" s="3" t="s">
        <v>337</v>
      </c>
      <c r="D17" s="3" t="s">
        <v>18</v>
      </c>
      <c r="E17" s="3" t="s">
        <v>185</v>
      </c>
      <c r="F17" s="4">
        <v>45998</v>
      </c>
    </row>
    <row r="18" spans="1:6" x14ac:dyDescent="0.3">
      <c r="A18" s="3" t="s">
        <v>352</v>
      </c>
      <c r="B18" s="3" t="s">
        <v>353</v>
      </c>
      <c r="C18" s="3" t="s">
        <v>323</v>
      </c>
      <c r="D18" s="3" t="s">
        <v>22</v>
      </c>
      <c r="E18" s="3" t="s">
        <v>21</v>
      </c>
      <c r="F18" s="4">
        <v>45706</v>
      </c>
    </row>
    <row r="19" spans="1:6" x14ac:dyDescent="0.3">
      <c r="A19" s="3" t="s">
        <v>354</v>
      </c>
      <c r="B19" s="3" t="s">
        <v>355</v>
      </c>
      <c r="C19" s="3" t="s">
        <v>326</v>
      </c>
      <c r="D19" s="3" t="s">
        <v>12</v>
      </c>
      <c r="E19" s="3" t="s">
        <v>21</v>
      </c>
      <c r="F19" s="4">
        <v>45915</v>
      </c>
    </row>
    <row r="20" spans="1:6" x14ac:dyDescent="0.3">
      <c r="A20" s="3" t="s">
        <v>356</v>
      </c>
      <c r="B20" s="3" t="s">
        <v>357</v>
      </c>
      <c r="C20" s="3" t="s">
        <v>323</v>
      </c>
      <c r="D20" s="3" t="s">
        <v>22</v>
      </c>
      <c r="E20" s="3" t="s">
        <v>185</v>
      </c>
      <c r="F20" s="4">
        <v>45753</v>
      </c>
    </row>
    <row r="21" spans="1:6" x14ac:dyDescent="0.3">
      <c r="A21" s="3" t="s">
        <v>358</v>
      </c>
      <c r="B21" s="3" t="s">
        <v>359</v>
      </c>
      <c r="C21" s="3" t="s">
        <v>360</v>
      </c>
      <c r="D21" s="3" t="s">
        <v>25</v>
      </c>
      <c r="E21" s="3" t="s">
        <v>184</v>
      </c>
      <c r="F21" s="4">
        <v>45794</v>
      </c>
    </row>
  </sheetData>
  <dataValidations count="1">
    <dataValidation type="list" allowBlank="1" sqref="E2:E21" xr:uid="{00000000-0002-0000-0700-000000000000}">
      <formula1>"Applied,Screening,Interview,Offer,Hired,Rejected"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1"/>
  <sheetViews>
    <sheetView zoomScaleNormal="100" workbookViewId="0">
      <pane ySplit="1" topLeftCell="A2" activePane="bottomLeft" state="frozen"/>
      <selection pane="bottomLeft" activeCell="F3" sqref="F2:F31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2" customWidth="1"/>
    <col min="4" max="4" width="26" customWidth="1"/>
    <col min="5" max="5" width="13" customWidth="1"/>
    <col min="6" max="6" width="22" customWidth="1"/>
    <col min="7" max="7" width="12" customWidth="1"/>
    <col min="8" max="8" width="18" customWidth="1"/>
    <col min="9" max="9" width="15" customWidth="1"/>
    <col min="10" max="10" width="18" customWidth="1"/>
    <col min="11" max="12" width="13" customWidth="1"/>
  </cols>
  <sheetData>
    <row r="1" spans="1:12" ht="41.4" x14ac:dyDescent="0.3">
      <c r="A1" s="2" t="s">
        <v>28</v>
      </c>
      <c r="B1" s="2" t="s">
        <v>29</v>
      </c>
      <c r="C1" s="2" t="s">
        <v>30</v>
      </c>
      <c r="D1" s="2" t="s">
        <v>2</v>
      </c>
      <c r="E1" s="2" t="s">
        <v>361</v>
      </c>
      <c r="F1" s="2" t="s">
        <v>362</v>
      </c>
      <c r="G1" s="2" t="s">
        <v>363</v>
      </c>
      <c r="H1" s="2" t="s">
        <v>173</v>
      </c>
      <c r="I1" s="2" t="s">
        <v>364</v>
      </c>
      <c r="J1" s="2" t="s">
        <v>365</v>
      </c>
      <c r="K1" s="2" t="s">
        <v>366</v>
      </c>
      <c r="L1" s="2" t="s">
        <v>367</v>
      </c>
    </row>
    <row r="2" spans="1:12" x14ac:dyDescent="0.3">
      <c r="A2" s="8" t="str">
        <f>Employee_Master!A2</f>
        <v>E001</v>
      </c>
      <c r="B2" s="8" t="str">
        <f>IFERROR(VLOOKUP(A2,Employee_Master!$A$2:$M$31,2,FALSE()),"")</f>
        <v>Rahim</v>
      </c>
      <c r="C2" s="8" t="str">
        <f>IFERROR(INDEX(Employee_Master!$D$2:$D$31,MATCH(A2,Employee_Master!$A$2:$A$31,0)),"")</f>
        <v>Sales</v>
      </c>
      <c r="D2" s="8" t="str">
        <f>IFERROR(VLOOKUP(A2,Employee_Master!$A$2:$M$31,10,FALSE()),"")</f>
        <v>Active</v>
      </c>
      <c r="E2" s="8">
        <f ca="1">IFERROR(DATEDIF(VLOOKUP(A2,Employee_Master!$A$2:$M$31,8,FALSE()),IF(D2="Resigned",VLOOKUP(A2,Employee_Master!$A$2:$M$31,9,FALSE()),TODAY()),"y"),0)</f>
        <v>7</v>
      </c>
      <c r="F2" s="8">
        <f>SUMIFS(Leave_Records!$F$2:$F$1000,Leave_Records!$B$2:$B$1000,A2,Leave_Records!$G$2:$G$1000,"Approved")</f>
        <v>7</v>
      </c>
      <c r="G2" s="10">
        <f>IFERROR(SUMIFS(Attendance_Log!$C$2:$C$1000,Attendance_Log!$A$2:$A$1000,A2)/SUMIFS(Attendance_Log!$D$2:$D$1000,Attendance_Log!$A$2:$A$1000,A2),0)</f>
        <v>0.93511450381679384</v>
      </c>
      <c r="H2" s="11">
        <f>IFERROR(AVERAGEIFS(Performance_Reviews!$C$2:$C$1000,Performance_Reviews!$A$2:$A$1000,A2),0)</f>
        <v>3.5</v>
      </c>
      <c r="I2" s="9">
        <f>SUMIFS(Payroll!$F$2:$F$1000,Payroll!$A$2:$A$1000,A2)</f>
        <v>1169100</v>
      </c>
      <c r="J2" s="8" t="str">
        <f t="shared" ref="J2:J31" si="0">_xlfn.IFS(H2&gt;=4.5,"Star Performer",H2&gt;=3.5,"Strong",H2&gt;=2.5,"Average",TRUE(),"Needs Improvement")</f>
        <v>Strong</v>
      </c>
      <c r="K2" s="8" t="str">
        <f t="shared" ref="K2:K31" si="1">IF(D2="Resigned","Yes","No")</f>
        <v>No</v>
      </c>
      <c r="L2" s="8" t="str">
        <f t="shared" ref="L2:L31" si="2">IF(AND(G2&gt;=0.95,H2&gt;=4,D2="Active"),"Yes","No")</f>
        <v>No</v>
      </c>
    </row>
    <row r="3" spans="1:12" x14ac:dyDescent="0.3">
      <c r="A3" s="8" t="str">
        <f>Employee_Master!A3</f>
        <v>E002</v>
      </c>
      <c r="B3" s="8" t="str">
        <f>IFERROR(VLOOKUP(A3,Employee_Master!$A$2:$M$31,2,FALSE()),"")</f>
        <v>Nadia</v>
      </c>
      <c r="C3" s="8" t="str">
        <f>IFERROR(INDEX(Employee_Master!$D$2:$D$31,MATCH(A3,Employee_Master!$A$2:$A$31,0)),"")</f>
        <v>Marketing</v>
      </c>
      <c r="D3" s="8" t="str">
        <f>IFERROR(VLOOKUP(A3,Employee_Master!$A$2:$M$31,10,FALSE()),"")</f>
        <v>Active</v>
      </c>
      <c r="E3" s="8">
        <f ca="1">IFERROR(DATEDIF(VLOOKUP(A3,Employee_Master!$A$2:$M$31,8,FALSE()),IF(D3="Resigned",VLOOKUP(A3,Employee_Master!$A$2:$M$31,9,FALSE()),TODAY()),"y"),0)</f>
        <v>4</v>
      </c>
      <c r="F3" s="8">
        <f>SUMIFS(Leave_Records!$F$2:$F$1000,Leave_Records!$B$2:$B$1000,A3,Leave_Records!$G$2:$G$1000,"Approved")</f>
        <v>12</v>
      </c>
      <c r="G3" s="10">
        <f>IFERROR(SUMIFS(Attendance_Log!$C$2:$C$1000,Attendance_Log!$A$2:$A$1000,A3)/SUMIFS(Attendance_Log!$D$2:$D$1000,Attendance_Log!$A$2:$A$1000,A3),0)</f>
        <v>0.91793893129770987</v>
      </c>
      <c r="H3" s="11">
        <f>IFERROR(AVERAGEIFS(Performance_Reviews!$C$2:$C$1000,Performance_Reviews!$A$2:$A$1000,A3),0)</f>
        <v>4.5</v>
      </c>
      <c r="I3" s="9">
        <f>SUMIFS(Payroll!$F$2:$F$1000,Payroll!$A$2:$A$1000,A3)</f>
        <v>1454800</v>
      </c>
      <c r="J3" s="8" t="str">
        <f t="shared" si="0"/>
        <v>Star Performer</v>
      </c>
      <c r="K3" s="8" t="str">
        <f t="shared" si="1"/>
        <v>No</v>
      </c>
      <c r="L3" s="8" t="str">
        <f t="shared" si="2"/>
        <v>No</v>
      </c>
    </row>
    <row r="4" spans="1:12" x14ac:dyDescent="0.3">
      <c r="A4" s="8" t="str">
        <f>Employee_Master!A4</f>
        <v>E003</v>
      </c>
      <c r="B4" s="8" t="str">
        <f>IFERROR(VLOOKUP(A4,Employee_Master!$A$2:$M$31,2,FALSE()),"")</f>
        <v>Karim</v>
      </c>
      <c r="C4" s="8" t="str">
        <f>IFERROR(INDEX(Employee_Master!$D$2:$D$31,MATCH(A4,Employee_Master!$A$2:$A$31,0)),"")</f>
        <v>Finance</v>
      </c>
      <c r="D4" s="8" t="str">
        <f>IFERROR(VLOOKUP(A4,Employee_Master!$A$2:$M$31,10,FALSE()),"")</f>
        <v>Active</v>
      </c>
      <c r="E4" s="8">
        <f ca="1">IFERROR(DATEDIF(VLOOKUP(A4,Employee_Master!$A$2:$M$31,8,FALSE()),IF(D4="Resigned",VLOOKUP(A4,Employee_Master!$A$2:$M$31,9,FALSE()),TODAY()),"y"),0)</f>
        <v>1</v>
      </c>
      <c r="F4" s="8">
        <f>SUMIFS(Leave_Records!$F$2:$F$1000,Leave_Records!$B$2:$B$1000,A4,Leave_Records!$G$2:$G$1000,"Approved")</f>
        <v>4</v>
      </c>
      <c r="G4" s="10">
        <f>IFERROR(SUMIFS(Attendance_Log!$C$2:$C$1000,Attendance_Log!$A$2:$A$1000,A4)/SUMIFS(Attendance_Log!$D$2:$D$1000,Attendance_Log!$A$2:$A$1000,A4),0)</f>
        <v>0.93092105263157898</v>
      </c>
      <c r="H4" s="11">
        <f>IFERROR(AVERAGEIFS(Performance_Reviews!$C$2:$C$1000,Performance_Reviews!$A$2:$A$1000,A4),0)</f>
        <v>3.5</v>
      </c>
      <c r="I4" s="9">
        <f>SUMIFS(Payroll!$F$2:$F$1000,Payroll!$A$2:$A$1000,A4)</f>
        <v>917700</v>
      </c>
      <c r="J4" s="8" t="str">
        <f t="shared" si="0"/>
        <v>Strong</v>
      </c>
      <c r="K4" s="8" t="str">
        <f t="shared" si="1"/>
        <v>No</v>
      </c>
      <c r="L4" s="8" t="str">
        <f t="shared" si="2"/>
        <v>No</v>
      </c>
    </row>
    <row r="5" spans="1:12" x14ac:dyDescent="0.3">
      <c r="A5" s="8" t="str">
        <f>Employee_Master!A5</f>
        <v>E004</v>
      </c>
      <c r="B5" s="8" t="str">
        <f>IFERROR(VLOOKUP(A5,Employee_Master!$A$2:$M$31,2,FALSE()),"")</f>
        <v>Jannat</v>
      </c>
      <c r="C5" s="8" t="str">
        <f>IFERROR(INDEX(Employee_Master!$D$2:$D$31,MATCH(A5,Employee_Master!$A$2:$A$31,0)),"")</f>
        <v>IT</v>
      </c>
      <c r="D5" s="8" t="str">
        <f>IFERROR(VLOOKUP(A5,Employee_Master!$A$2:$M$31,10,FALSE()),"")</f>
        <v>Resigned</v>
      </c>
      <c r="E5" s="8">
        <f ca="1">IFERROR(DATEDIF(VLOOKUP(A5,Employee_Master!$A$2:$M$31,8,FALSE()),IF(D5="Resigned",VLOOKUP(A5,Employee_Master!$A$2:$M$31,9,FALSE()),TODAY()),"y"),0)</f>
        <v>4</v>
      </c>
      <c r="F5" s="8">
        <f>SUMIFS(Leave_Records!$F$2:$F$1000,Leave_Records!$B$2:$B$1000,A5,Leave_Records!$G$2:$G$1000,"Approved")</f>
        <v>6</v>
      </c>
      <c r="G5" s="10">
        <f>IFERROR(SUMIFS(Attendance_Log!$C$2:$C$1000,Attendance_Log!$A$2:$A$1000,A5)/SUMIFS(Attendance_Log!$D$2:$D$1000,Attendance_Log!$A$2:$A$1000,A5),0)</f>
        <v>0.9363636363636364</v>
      </c>
      <c r="H5" s="11">
        <f>IFERROR(AVERAGEIFS(Performance_Reviews!$C$2:$C$1000,Performance_Reviews!$A$2:$A$1000,A5),0)</f>
        <v>4</v>
      </c>
      <c r="I5" s="9">
        <f>SUMIFS(Payroll!$F$2:$F$1000,Payroll!$A$2:$A$1000,A5)</f>
        <v>604700</v>
      </c>
      <c r="J5" s="8" t="str">
        <f t="shared" si="0"/>
        <v>Strong</v>
      </c>
      <c r="K5" s="8" t="str">
        <f t="shared" si="1"/>
        <v>Yes</v>
      </c>
      <c r="L5" s="8" t="str">
        <f t="shared" si="2"/>
        <v>No</v>
      </c>
    </row>
    <row r="6" spans="1:12" x14ac:dyDescent="0.3">
      <c r="A6" s="8" t="str">
        <f>Employee_Master!A6</f>
        <v>E005</v>
      </c>
      <c r="B6" s="8" t="str">
        <f>IFERROR(VLOOKUP(A6,Employee_Master!$A$2:$M$31,2,FALSE()),"")</f>
        <v>Sumon</v>
      </c>
      <c r="C6" s="8" t="str">
        <f>IFERROR(INDEX(Employee_Master!$D$2:$D$31,MATCH(A6,Employee_Master!$A$2:$A$31,0)),"")</f>
        <v>HR</v>
      </c>
      <c r="D6" s="8" t="str">
        <f>IFERROR(VLOOKUP(A6,Employee_Master!$A$2:$M$31,10,FALSE()),"")</f>
        <v>Active</v>
      </c>
      <c r="E6" s="8">
        <f ca="1">IFERROR(DATEDIF(VLOOKUP(A6,Employee_Master!$A$2:$M$31,8,FALSE()),IF(D6="Resigned",VLOOKUP(A6,Employee_Master!$A$2:$M$31,9,FALSE()),TODAY()),"y"),0)</f>
        <v>6</v>
      </c>
      <c r="F6" s="8">
        <f>SUMIFS(Leave_Records!$F$2:$F$1000,Leave_Records!$B$2:$B$1000,A6,Leave_Records!$G$2:$G$1000,"Approved")</f>
        <v>4</v>
      </c>
      <c r="G6" s="10">
        <f>IFERROR(SUMIFS(Attendance_Log!$C$2:$C$1000,Attendance_Log!$A$2:$A$1000,A6)/SUMIFS(Attendance_Log!$D$2:$D$1000,Attendance_Log!$A$2:$A$1000,A6),0)</f>
        <v>0.92366412213740456</v>
      </c>
      <c r="H6" s="11">
        <f>IFERROR(AVERAGEIFS(Performance_Reviews!$C$2:$C$1000,Performance_Reviews!$A$2:$A$1000,A6),0)</f>
        <v>3.5</v>
      </c>
      <c r="I6" s="9">
        <f>SUMIFS(Payroll!$F$2:$F$1000,Payroll!$A$2:$A$1000,A6)</f>
        <v>851600</v>
      </c>
      <c r="J6" s="8" t="str">
        <f t="shared" si="0"/>
        <v>Strong</v>
      </c>
      <c r="K6" s="8" t="str">
        <f t="shared" si="1"/>
        <v>No</v>
      </c>
      <c r="L6" s="8" t="str">
        <f t="shared" si="2"/>
        <v>No</v>
      </c>
    </row>
    <row r="7" spans="1:12" x14ac:dyDescent="0.3">
      <c r="A7" s="8" t="str">
        <f>Employee_Master!A7</f>
        <v>E006</v>
      </c>
      <c r="B7" s="8" t="str">
        <f>IFERROR(VLOOKUP(A7,Employee_Master!$A$2:$M$31,2,FALSE()),"")</f>
        <v>Tania</v>
      </c>
      <c r="C7" s="8" t="str">
        <f>IFERROR(INDEX(Employee_Master!$D$2:$D$31,MATCH(A7,Employee_Master!$A$2:$A$31,0)),"")</f>
        <v>Operations</v>
      </c>
      <c r="D7" s="8" t="str">
        <f>IFERROR(VLOOKUP(A7,Employee_Master!$A$2:$M$31,10,FALSE()),"")</f>
        <v>Active</v>
      </c>
      <c r="E7" s="8">
        <f ca="1">IFERROR(DATEDIF(VLOOKUP(A7,Employee_Master!$A$2:$M$31,8,FALSE()),IF(D7="Resigned",VLOOKUP(A7,Employee_Master!$A$2:$M$31,9,FALSE()),TODAY()),"y"),0)</f>
        <v>3</v>
      </c>
      <c r="F7" s="8">
        <f>SUMIFS(Leave_Records!$F$2:$F$1000,Leave_Records!$B$2:$B$1000,A7,Leave_Records!$G$2:$G$1000,"Approved")</f>
        <v>7</v>
      </c>
      <c r="G7" s="10">
        <f>IFERROR(SUMIFS(Attendance_Log!$C$2:$C$1000,Attendance_Log!$A$2:$A$1000,A7)/SUMIFS(Attendance_Log!$D$2:$D$1000,Attendance_Log!$A$2:$A$1000,A7),0)</f>
        <v>0.91793893129770987</v>
      </c>
      <c r="H7" s="11">
        <f>IFERROR(AVERAGEIFS(Performance_Reviews!$C$2:$C$1000,Performance_Reviews!$A$2:$A$1000,A7),0)</f>
        <v>3.5</v>
      </c>
      <c r="I7" s="9">
        <f>SUMIFS(Payroll!$F$2:$F$1000,Payroll!$A$2:$A$1000,A7)</f>
        <v>1570700</v>
      </c>
      <c r="J7" s="8" t="str">
        <f t="shared" si="0"/>
        <v>Strong</v>
      </c>
      <c r="K7" s="8" t="str">
        <f t="shared" si="1"/>
        <v>No</v>
      </c>
      <c r="L7" s="8" t="str">
        <f t="shared" si="2"/>
        <v>No</v>
      </c>
    </row>
    <row r="8" spans="1:12" x14ac:dyDescent="0.3">
      <c r="A8" s="8" t="str">
        <f>Employee_Master!A8</f>
        <v>E007</v>
      </c>
      <c r="B8" s="8" t="str">
        <f>IFERROR(VLOOKUP(A8,Employee_Master!$A$2:$M$31,2,FALSE()),"")</f>
        <v>Rafi</v>
      </c>
      <c r="C8" s="8" t="str">
        <f>IFERROR(INDEX(Employee_Master!$D$2:$D$31,MATCH(A8,Employee_Master!$A$2:$A$31,0)),"")</f>
        <v>Sales</v>
      </c>
      <c r="D8" s="8" t="str">
        <f>IFERROR(VLOOKUP(A8,Employee_Master!$A$2:$M$31,10,FALSE()),"")</f>
        <v>Active</v>
      </c>
      <c r="E8" s="8">
        <f ca="1">IFERROR(DATEDIF(VLOOKUP(A8,Employee_Master!$A$2:$M$31,8,FALSE()),IF(D8="Resigned",VLOOKUP(A8,Employee_Master!$A$2:$M$31,9,FALSE()),TODAY()),"y"),0)</f>
        <v>5</v>
      </c>
      <c r="F8" s="8">
        <f>SUMIFS(Leave_Records!$F$2:$F$1000,Leave_Records!$B$2:$B$1000,A8,Leave_Records!$G$2:$G$1000,"Approved")</f>
        <v>5</v>
      </c>
      <c r="G8" s="10">
        <f>IFERROR(SUMIFS(Attendance_Log!$C$2:$C$1000,Attendance_Log!$A$2:$A$1000,A8)/SUMIFS(Attendance_Log!$D$2:$D$1000,Attendance_Log!$A$2:$A$1000,A8),0)</f>
        <v>0.91793893129770987</v>
      </c>
      <c r="H8" s="11">
        <f>IFERROR(AVERAGEIFS(Performance_Reviews!$C$2:$C$1000,Performance_Reviews!$A$2:$A$1000,A8),0)</f>
        <v>3.5</v>
      </c>
      <c r="I8" s="9">
        <f>SUMIFS(Payroll!$F$2:$F$1000,Payroll!$A$2:$A$1000,A8)</f>
        <v>1578900</v>
      </c>
      <c r="J8" s="8" t="str">
        <f t="shared" si="0"/>
        <v>Strong</v>
      </c>
      <c r="K8" s="8" t="str">
        <f t="shared" si="1"/>
        <v>No</v>
      </c>
      <c r="L8" s="8" t="str">
        <f t="shared" si="2"/>
        <v>No</v>
      </c>
    </row>
    <row r="9" spans="1:12" x14ac:dyDescent="0.3">
      <c r="A9" s="8" t="str">
        <f>Employee_Master!A9</f>
        <v>E008</v>
      </c>
      <c r="B9" s="8" t="str">
        <f>IFERROR(VLOOKUP(A9,Employee_Master!$A$2:$M$31,2,FALSE()),"")</f>
        <v>Nabila</v>
      </c>
      <c r="C9" s="8" t="str">
        <f>IFERROR(INDEX(Employee_Master!$D$2:$D$31,MATCH(A9,Employee_Master!$A$2:$A$31,0)),"")</f>
        <v>Marketing</v>
      </c>
      <c r="D9" s="8" t="str">
        <f>IFERROR(VLOOKUP(A9,Employee_Master!$A$2:$M$31,10,FALSE()),"")</f>
        <v>Active</v>
      </c>
      <c r="E9" s="8">
        <f ca="1">IFERROR(DATEDIF(VLOOKUP(A9,Employee_Master!$A$2:$M$31,8,FALSE()),IF(D9="Resigned",VLOOKUP(A9,Employee_Master!$A$2:$M$31,9,FALSE()),TODAY()),"y"),0)</f>
        <v>4</v>
      </c>
      <c r="F9" s="8">
        <f>SUMIFS(Leave_Records!$F$2:$F$1000,Leave_Records!$B$2:$B$1000,A9,Leave_Records!$G$2:$G$1000,"Approved")</f>
        <v>14</v>
      </c>
      <c r="G9" s="10">
        <f>IFERROR(SUMIFS(Attendance_Log!$C$2:$C$1000,Attendance_Log!$A$2:$A$1000,A9)/SUMIFS(Attendance_Log!$D$2:$D$1000,Attendance_Log!$A$2:$A$1000,A9),0)</f>
        <v>0.92938931297709926</v>
      </c>
      <c r="H9" s="11">
        <f>IFERROR(AVERAGEIFS(Performance_Reviews!$C$2:$C$1000,Performance_Reviews!$A$2:$A$1000,A9),0)</f>
        <v>4.5</v>
      </c>
      <c r="I9" s="9">
        <f>SUMIFS(Payroll!$F$2:$F$1000,Payroll!$A$2:$A$1000,A9)</f>
        <v>857200</v>
      </c>
      <c r="J9" s="8" t="str">
        <f t="shared" si="0"/>
        <v>Star Performer</v>
      </c>
      <c r="K9" s="8" t="str">
        <f t="shared" si="1"/>
        <v>No</v>
      </c>
      <c r="L9" s="8" t="str">
        <f t="shared" si="2"/>
        <v>No</v>
      </c>
    </row>
    <row r="10" spans="1:12" x14ac:dyDescent="0.3">
      <c r="A10" s="8" t="str">
        <f>Employee_Master!A10</f>
        <v>E009</v>
      </c>
      <c r="B10" s="8" t="str">
        <f>IFERROR(VLOOKUP(A10,Employee_Master!$A$2:$M$31,2,FALSE()),"")</f>
        <v>Fahim</v>
      </c>
      <c r="C10" s="8" t="str">
        <f>IFERROR(INDEX(Employee_Master!$D$2:$D$31,MATCH(A10,Employee_Master!$A$2:$A$31,0)),"")</f>
        <v>Finance</v>
      </c>
      <c r="D10" s="8" t="str">
        <f>IFERROR(VLOOKUP(A10,Employee_Master!$A$2:$M$31,10,FALSE()),"")</f>
        <v>Active</v>
      </c>
      <c r="E10" s="8">
        <f ca="1">IFERROR(DATEDIF(VLOOKUP(A10,Employee_Master!$A$2:$M$31,8,FALSE()),IF(D10="Resigned",VLOOKUP(A10,Employee_Master!$A$2:$M$31,9,FALSE()),TODAY()),"y"),0)</f>
        <v>4</v>
      </c>
      <c r="F10" s="8">
        <f>SUMIFS(Leave_Records!$F$2:$F$1000,Leave_Records!$B$2:$B$1000,A10,Leave_Records!$G$2:$G$1000,"Approved")</f>
        <v>0</v>
      </c>
      <c r="G10" s="10">
        <f>IFERROR(SUMIFS(Attendance_Log!$C$2:$C$1000,Attendance_Log!$A$2:$A$1000,A10)/SUMIFS(Attendance_Log!$D$2:$D$1000,Attendance_Log!$A$2:$A$1000,A10),0)</f>
        <v>0.92557251908396942</v>
      </c>
      <c r="H10" s="11">
        <f>IFERROR(AVERAGEIFS(Performance_Reviews!$C$2:$C$1000,Performance_Reviews!$A$2:$A$1000,A10),0)</f>
        <v>3</v>
      </c>
      <c r="I10" s="9">
        <f>SUMIFS(Payroll!$F$2:$F$1000,Payroll!$A$2:$A$1000,A10)</f>
        <v>850600</v>
      </c>
      <c r="J10" s="8" t="str">
        <f t="shared" si="0"/>
        <v>Average</v>
      </c>
      <c r="K10" s="8" t="str">
        <f t="shared" si="1"/>
        <v>No</v>
      </c>
      <c r="L10" s="8" t="str">
        <f t="shared" si="2"/>
        <v>No</v>
      </c>
    </row>
    <row r="11" spans="1:12" x14ac:dyDescent="0.3">
      <c r="A11" s="8" t="str">
        <f>Employee_Master!A11</f>
        <v>E010</v>
      </c>
      <c r="B11" s="8" t="str">
        <f>IFERROR(VLOOKUP(A11,Employee_Master!$A$2:$M$31,2,FALSE()),"")</f>
        <v>Mim</v>
      </c>
      <c r="C11" s="8" t="str">
        <f>IFERROR(INDEX(Employee_Master!$D$2:$D$31,MATCH(A11,Employee_Master!$A$2:$A$31,0)),"")</f>
        <v>IT</v>
      </c>
      <c r="D11" s="8" t="str">
        <f>IFERROR(VLOOKUP(A11,Employee_Master!$A$2:$M$31,10,FALSE()),"")</f>
        <v>Active</v>
      </c>
      <c r="E11" s="8">
        <f ca="1">IFERROR(DATEDIF(VLOOKUP(A11,Employee_Master!$A$2:$M$31,8,FALSE()),IF(D11="Resigned",VLOOKUP(A11,Employee_Master!$A$2:$M$31,9,FALSE()),TODAY()),"y"),0)</f>
        <v>2</v>
      </c>
      <c r="F11" s="8">
        <f>SUMIFS(Leave_Records!$F$2:$F$1000,Leave_Records!$B$2:$B$1000,A11,Leave_Records!$G$2:$G$1000,"Approved")</f>
        <v>7</v>
      </c>
      <c r="G11" s="10">
        <f>IFERROR(SUMIFS(Attendance_Log!$C$2:$C$1000,Attendance_Log!$A$2:$A$1000,A11)/SUMIFS(Attendance_Log!$D$2:$D$1000,Attendance_Log!$A$2:$A$1000,A11),0)</f>
        <v>0.91787439613526567</v>
      </c>
      <c r="H11" s="11">
        <f>IFERROR(AVERAGEIFS(Performance_Reviews!$C$2:$C$1000,Performance_Reviews!$A$2:$A$1000,A11),0)</f>
        <v>4</v>
      </c>
      <c r="I11" s="9">
        <f>SUMIFS(Payroll!$F$2:$F$1000,Payroll!$A$2:$A$1000,A11)</f>
        <v>1072500</v>
      </c>
      <c r="J11" s="8" t="str">
        <f t="shared" si="0"/>
        <v>Strong</v>
      </c>
      <c r="K11" s="8" t="str">
        <f t="shared" si="1"/>
        <v>No</v>
      </c>
      <c r="L11" s="8" t="str">
        <f t="shared" si="2"/>
        <v>No</v>
      </c>
    </row>
    <row r="12" spans="1:12" x14ac:dyDescent="0.3">
      <c r="A12" s="8" t="str">
        <f>Employee_Master!A12</f>
        <v>E011</v>
      </c>
      <c r="B12" s="8" t="str">
        <f>IFERROR(VLOOKUP(A12,Employee_Master!$A$2:$M$31,2,FALSE()),"")</f>
        <v>Hasan</v>
      </c>
      <c r="C12" s="8" t="str">
        <f>IFERROR(INDEX(Employee_Master!$D$2:$D$31,MATCH(A12,Employee_Master!$A$2:$A$31,0)),"")</f>
        <v>HR</v>
      </c>
      <c r="D12" s="8" t="str">
        <f>IFERROR(VLOOKUP(A12,Employee_Master!$A$2:$M$31,10,FALSE()),"")</f>
        <v>Active</v>
      </c>
      <c r="E12" s="8">
        <f ca="1">IFERROR(DATEDIF(VLOOKUP(A12,Employee_Master!$A$2:$M$31,8,FALSE()),IF(D12="Resigned",VLOOKUP(A12,Employee_Master!$A$2:$M$31,9,FALSE()),TODAY()),"y"),0)</f>
        <v>2</v>
      </c>
      <c r="F12" s="8">
        <f>SUMIFS(Leave_Records!$F$2:$F$1000,Leave_Records!$B$2:$B$1000,A12,Leave_Records!$G$2:$G$1000,"Approved")</f>
        <v>6</v>
      </c>
      <c r="G12" s="10">
        <f>IFERROR(SUMIFS(Attendance_Log!$C$2:$C$1000,Attendance_Log!$A$2:$A$1000,A12)/SUMIFS(Attendance_Log!$D$2:$D$1000,Attendance_Log!$A$2:$A$1000,A12),0)</f>
        <v>0.90637450199203184</v>
      </c>
      <c r="H12" s="11">
        <f>IFERROR(AVERAGEIFS(Performance_Reviews!$C$2:$C$1000,Performance_Reviews!$A$2:$A$1000,A12),0)</f>
        <v>4</v>
      </c>
      <c r="I12" s="9">
        <f>SUMIFS(Payroll!$F$2:$F$1000,Payroll!$A$2:$A$1000,A12)</f>
        <v>1049000</v>
      </c>
      <c r="J12" s="8" t="str">
        <f t="shared" si="0"/>
        <v>Strong</v>
      </c>
      <c r="K12" s="8" t="str">
        <f t="shared" si="1"/>
        <v>No</v>
      </c>
      <c r="L12" s="8" t="str">
        <f t="shared" si="2"/>
        <v>No</v>
      </c>
    </row>
    <row r="13" spans="1:12" x14ac:dyDescent="0.3">
      <c r="A13" s="8" t="str">
        <f>Employee_Master!A13</f>
        <v>E012</v>
      </c>
      <c r="B13" s="8" t="str">
        <f>IFERROR(VLOOKUP(A13,Employee_Master!$A$2:$M$31,2,FALSE()),"")</f>
        <v>Liza</v>
      </c>
      <c r="C13" s="8" t="str">
        <f>IFERROR(INDEX(Employee_Master!$D$2:$D$31,MATCH(A13,Employee_Master!$A$2:$A$31,0)),"")</f>
        <v>Operations</v>
      </c>
      <c r="D13" s="8" t="str">
        <f>IFERROR(VLOOKUP(A13,Employee_Master!$A$2:$M$31,10,FALSE()),"")</f>
        <v>Active</v>
      </c>
      <c r="E13" s="8">
        <f ca="1">IFERROR(DATEDIF(VLOOKUP(A13,Employee_Master!$A$2:$M$31,8,FALSE()),IF(D13="Resigned",VLOOKUP(A13,Employee_Master!$A$2:$M$31,9,FALSE()),TODAY()),"y"),0)</f>
        <v>5</v>
      </c>
      <c r="F13" s="8">
        <f>SUMIFS(Leave_Records!$F$2:$F$1000,Leave_Records!$B$2:$B$1000,A13,Leave_Records!$G$2:$G$1000,"Approved")</f>
        <v>8</v>
      </c>
      <c r="G13" s="10">
        <f>IFERROR(SUMIFS(Attendance_Log!$C$2:$C$1000,Attendance_Log!$A$2:$A$1000,A13)/SUMIFS(Attendance_Log!$D$2:$D$1000,Attendance_Log!$A$2:$A$1000,A13),0)</f>
        <v>0.94465648854961837</v>
      </c>
      <c r="H13" s="11">
        <f>IFERROR(AVERAGEIFS(Performance_Reviews!$C$2:$C$1000,Performance_Reviews!$A$2:$A$1000,A13),0)</f>
        <v>3</v>
      </c>
      <c r="I13" s="9">
        <f>SUMIFS(Payroll!$F$2:$F$1000,Payroll!$A$2:$A$1000,A13)</f>
        <v>1577900</v>
      </c>
      <c r="J13" s="8" t="str">
        <f t="shared" si="0"/>
        <v>Average</v>
      </c>
      <c r="K13" s="8" t="str">
        <f t="shared" si="1"/>
        <v>No</v>
      </c>
      <c r="L13" s="8" t="str">
        <f t="shared" si="2"/>
        <v>No</v>
      </c>
    </row>
    <row r="14" spans="1:12" x14ac:dyDescent="0.3">
      <c r="A14" s="8" t="str">
        <f>Employee_Master!A14</f>
        <v>E013</v>
      </c>
      <c r="B14" s="8" t="str">
        <f>IFERROR(VLOOKUP(A14,Employee_Master!$A$2:$M$31,2,FALSE()),"")</f>
        <v>Arif</v>
      </c>
      <c r="C14" s="8" t="str">
        <f>IFERROR(INDEX(Employee_Master!$D$2:$D$31,MATCH(A14,Employee_Master!$A$2:$A$31,0)),"")</f>
        <v>Sales</v>
      </c>
      <c r="D14" s="8" t="str">
        <f>IFERROR(VLOOKUP(A14,Employee_Master!$A$2:$M$31,10,FALSE()),"")</f>
        <v>Active</v>
      </c>
      <c r="E14" s="8">
        <f ca="1">IFERROR(DATEDIF(VLOOKUP(A14,Employee_Master!$A$2:$M$31,8,FALSE()),IF(D14="Resigned",VLOOKUP(A14,Employee_Master!$A$2:$M$31,9,FALSE()),TODAY()),"y"),0)</f>
        <v>5</v>
      </c>
      <c r="F14" s="8">
        <f>SUMIFS(Leave_Records!$F$2:$F$1000,Leave_Records!$B$2:$B$1000,A14,Leave_Records!$G$2:$G$1000,"Approved")</f>
        <v>2</v>
      </c>
      <c r="G14" s="10">
        <f>IFERROR(SUMIFS(Attendance_Log!$C$2:$C$1000,Attendance_Log!$A$2:$A$1000,A14)/SUMIFS(Attendance_Log!$D$2:$D$1000,Attendance_Log!$A$2:$A$1000,A14),0)</f>
        <v>0.9274809160305344</v>
      </c>
      <c r="H14" s="11">
        <f>IFERROR(AVERAGEIFS(Performance_Reviews!$C$2:$C$1000,Performance_Reviews!$A$2:$A$1000,A14),0)</f>
        <v>3</v>
      </c>
      <c r="I14" s="9">
        <f>SUMIFS(Payroll!$F$2:$F$1000,Payroll!$A$2:$A$1000,A14)</f>
        <v>1260700</v>
      </c>
      <c r="J14" s="8" t="str">
        <f t="shared" si="0"/>
        <v>Average</v>
      </c>
      <c r="K14" s="8" t="str">
        <f t="shared" si="1"/>
        <v>No</v>
      </c>
      <c r="L14" s="8" t="str">
        <f t="shared" si="2"/>
        <v>No</v>
      </c>
    </row>
    <row r="15" spans="1:12" x14ac:dyDescent="0.3">
      <c r="A15" s="8" t="str">
        <f>Employee_Master!A15</f>
        <v>E014</v>
      </c>
      <c r="B15" s="8" t="str">
        <f>IFERROR(VLOOKUP(A15,Employee_Master!$A$2:$M$31,2,FALSE()),"")</f>
        <v>Sadia</v>
      </c>
      <c r="C15" s="8" t="str">
        <f>IFERROR(INDEX(Employee_Master!$D$2:$D$31,MATCH(A15,Employee_Master!$A$2:$A$31,0)),"")</f>
        <v>Marketing</v>
      </c>
      <c r="D15" s="8" t="str">
        <f>IFERROR(VLOOKUP(A15,Employee_Master!$A$2:$M$31,10,FALSE()),"")</f>
        <v>Active</v>
      </c>
      <c r="E15" s="8">
        <f ca="1">IFERROR(DATEDIF(VLOOKUP(A15,Employee_Master!$A$2:$M$31,8,FALSE()),IF(D15="Resigned",VLOOKUP(A15,Employee_Master!$A$2:$M$31,9,FALSE()),TODAY()),"y"),0)</f>
        <v>3</v>
      </c>
      <c r="F15" s="8">
        <f>SUMIFS(Leave_Records!$F$2:$F$1000,Leave_Records!$B$2:$B$1000,A15,Leave_Records!$G$2:$G$1000,"Approved")</f>
        <v>7</v>
      </c>
      <c r="G15" s="10">
        <f>IFERROR(SUMIFS(Attendance_Log!$C$2:$C$1000,Attendance_Log!$A$2:$A$1000,A15)/SUMIFS(Attendance_Log!$D$2:$D$1000,Attendance_Log!$A$2:$A$1000,A15),0)</f>
        <v>0.9217557251908397</v>
      </c>
      <c r="H15" s="11">
        <f>IFERROR(AVERAGEIFS(Performance_Reviews!$C$2:$C$1000,Performance_Reviews!$A$2:$A$1000,A15),0)</f>
        <v>3.5</v>
      </c>
      <c r="I15" s="9">
        <f>SUMIFS(Payroll!$F$2:$F$1000,Payroll!$A$2:$A$1000,A15)</f>
        <v>1455100</v>
      </c>
      <c r="J15" s="8" t="str">
        <f t="shared" si="0"/>
        <v>Strong</v>
      </c>
      <c r="K15" s="8" t="str">
        <f t="shared" si="1"/>
        <v>No</v>
      </c>
      <c r="L15" s="8" t="str">
        <f t="shared" si="2"/>
        <v>No</v>
      </c>
    </row>
    <row r="16" spans="1:12" x14ac:dyDescent="0.3">
      <c r="A16" s="8" t="str">
        <f>Employee_Master!A16</f>
        <v>E015</v>
      </c>
      <c r="B16" s="8" t="str">
        <f>IFERROR(VLOOKUP(A16,Employee_Master!$A$2:$M$31,2,FALSE()),"")</f>
        <v>Nayeem</v>
      </c>
      <c r="C16" s="8" t="str">
        <f>IFERROR(INDEX(Employee_Master!$D$2:$D$31,MATCH(A16,Employee_Master!$A$2:$A$31,0)),"")</f>
        <v>Finance</v>
      </c>
      <c r="D16" s="8" t="str">
        <f>IFERROR(VLOOKUP(A16,Employee_Master!$A$2:$M$31,10,FALSE()),"")</f>
        <v>Resigned</v>
      </c>
      <c r="E16" s="8">
        <f ca="1">IFERROR(DATEDIF(VLOOKUP(A16,Employee_Master!$A$2:$M$31,8,FALSE()),IF(D16="Resigned",VLOOKUP(A16,Employee_Master!$A$2:$M$31,9,FALSE()),TODAY()),"y"),0)</f>
        <v>4</v>
      </c>
      <c r="F16" s="8">
        <f>SUMIFS(Leave_Records!$F$2:$F$1000,Leave_Records!$B$2:$B$1000,A16,Leave_Records!$G$2:$G$1000,"Approved")</f>
        <v>4</v>
      </c>
      <c r="G16" s="10">
        <f>IFERROR(SUMIFS(Attendance_Log!$C$2:$C$1000,Attendance_Log!$A$2:$A$1000,A16)/SUMIFS(Attendance_Log!$D$2:$D$1000,Attendance_Log!$A$2:$A$1000,A16),0)</f>
        <v>0.9049586776859504</v>
      </c>
      <c r="H16" s="11">
        <f>IFERROR(AVERAGEIFS(Performance_Reviews!$C$2:$C$1000,Performance_Reviews!$A$2:$A$1000,A16),0)</f>
        <v>3</v>
      </c>
      <c r="I16" s="9">
        <f>SUMIFS(Payroll!$F$2:$F$1000,Payroll!$A$2:$A$1000,A16)</f>
        <v>357400</v>
      </c>
      <c r="J16" s="8" t="str">
        <f t="shared" si="0"/>
        <v>Average</v>
      </c>
      <c r="K16" s="8" t="str">
        <f t="shared" si="1"/>
        <v>Yes</v>
      </c>
      <c r="L16" s="8" t="str">
        <f t="shared" si="2"/>
        <v>No</v>
      </c>
    </row>
    <row r="17" spans="1:12" x14ac:dyDescent="0.3">
      <c r="A17" s="8" t="str">
        <f>Employee_Master!A17</f>
        <v>E016</v>
      </c>
      <c r="B17" s="8" t="str">
        <f>IFERROR(VLOOKUP(A17,Employee_Master!$A$2:$M$31,2,FALSE()),"")</f>
        <v>Nusrat</v>
      </c>
      <c r="C17" s="8" t="str">
        <f>IFERROR(INDEX(Employee_Master!$D$2:$D$31,MATCH(A17,Employee_Master!$A$2:$A$31,0)),"")</f>
        <v>IT</v>
      </c>
      <c r="D17" s="8" t="str">
        <f>IFERROR(VLOOKUP(A17,Employee_Master!$A$2:$M$31,10,FALSE()),"")</f>
        <v>Active</v>
      </c>
      <c r="E17" s="8">
        <f ca="1">IFERROR(DATEDIF(VLOOKUP(A17,Employee_Master!$A$2:$M$31,8,FALSE()),IF(D17="Resigned",VLOOKUP(A17,Employee_Master!$A$2:$M$31,9,FALSE()),TODAY()),"y"),0)</f>
        <v>7</v>
      </c>
      <c r="F17" s="8">
        <f>SUMIFS(Leave_Records!$F$2:$F$1000,Leave_Records!$B$2:$B$1000,A17,Leave_Records!$G$2:$G$1000,"Approved")</f>
        <v>4</v>
      </c>
      <c r="G17" s="10">
        <f>IFERROR(SUMIFS(Attendance_Log!$C$2:$C$1000,Attendance_Log!$A$2:$A$1000,A17)/SUMIFS(Attendance_Log!$D$2:$D$1000,Attendance_Log!$A$2:$A$1000,A17),0)</f>
        <v>0.9007633587786259</v>
      </c>
      <c r="H17" s="11">
        <f>IFERROR(AVERAGEIFS(Performance_Reviews!$C$2:$C$1000,Performance_Reviews!$A$2:$A$1000,A17),0)</f>
        <v>4</v>
      </c>
      <c r="I17" s="9">
        <f>SUMIFS(Payroll!$F$2:$F$1000,Payroll!$A$2:$A$1000,A17)</f>
        <v>1582700</v>
      </c>
      <c r="J17" s="8" t="str">
        <f t="shared" si="0"/>
        <v>Strong</v>
      </c>
      <c r="K17" s="8" t="str">
        <f t="shared" si="1"/>
        <v>No</v>
      </c>
      <c r="L17" s="8" t="str">
        <f t="shared" si="2"/>
        <v>No</v>
      </c>
    </row>
    <row r="18" spans="1:12" x14ac:dyDescent="0.3">
      <c r="A18" s="8" t="str">
        <f>Employee_Master!A18</f>
        <v>E017</v>
      </c>
      <c r="B18" s="8" t="str">
        <f>IFERROR(VLOOKUP(A18,Employee_Master!$A$2:$M$31,2,FALSE()),"")</f>
        <v>Sohan</v>
      </c>
      <c r="C18" s="8" t="str">
        <f>IFERROR(INDEX(Employee_Master!$D$2:$D$31,MATCH(A18,Employee_Master!$A$2:$A$31,0)),"")</f>
        <v>HR</v>
      </c>
      <c r="D18" s="8" t="str">
        <f>IFERROR(VLOOKUP(A18,Employee_Master!$A$2:$M$31,10,FALSE()),"")</f>
        <v>Resigned</v>
      </c>
      <c r="E18" s="8">
        <f ca="1">IFERROR(DATEDIF(VLOOKUP(A18,Employee_Master!$A$2:$M$31,8,FALSE()),IF(D18="Resigned",VLOOKUP(A18,Employee_Master!$A$2:$M$31,9,FALSE()),TODAY()),"y"),0)</f>
        <v>0</v>
      </c>
      <c r="F18" s="8">
        <f>SUMIFS(Leave_Records!$F$2:$F$1000,Leave_Records!$B$2:$B$1000,A18,Leave_Records!$G$2:$G$1000,"Approved")</f>
        <v>5</v>
      </c>
      <c r="G18" s="10">
        <f>IFERROR(SUMIFS(Attendance_Log!$C$2:$C$1000,Attendance_Log!$A$2:$A$1000,A18)/SUMIFS(Attendance_Log!$D$2:$D$1000,Attendance_Log!$A$2:$A$1000,A18),0)</f>
        <v>0.93367346938775508</v>
      </c>
      <c r="H18" s="11">
        <f>IFERROR(AVERAGEIFS(Performance_Reviews!$C$2:$C$1000,Performance_Reviews!$A$2:$A$1000,A18),0)</f>
        <v>4.5</v>
      </c>
      <c r="I18" s="9">
        <f>SUMIFS(Payroll!$F$2:$F$1000,Payroll!$A$2:$A$1000,A18)</f>
        <v>476800</v>
      </c>
      <c r="J18" s="8" t="str">
        <f t="shared" si="0"/>
        <v>Star Performer</v>
      </c>
      <c r="K18" s="8" t="str">
        <f t="shared" si="1"/>
        <v>Yes</v>
      </c>
      <c r="L18" s="8" t="str">
        <f t="shared" si="2"/>
        <v>No</v>
      </c>
    </row>
    <row r="19" spans="1:12" x14ac:dyDescent="0.3">
      <c r="A19" s="8" t="str">
        <f>Employee_Master!A19</f>
        <v>E018</v>
      </c>
      <c r="B19" s="8" t="str">
        <f>IFERROR(VLOOKUP(A19,Employee_Master!$A$2:$M$31,2,FALSE()),"")</f>
        <v>Sharmin</v>
      </c>
      <c r="C19" s="8" t="str">
        <f>IFERROR(INDEX(Employee_Master!$D$2:$D$31,MATCH(A19,Employee_Master!$A$2:$A$31,0)),"")</f>
        <v>Operations</v>
      </c>
      <c r="D19" s="8" t="str">
        <f>IFERROR(VLOOKUP(A19,Employee_Master!$A$2:$M$31,10,FALSE()),"")</f>
        <v>Active</v>
      </c>
      <c r="E19" s="8">
        <f ca="1">IFERROR(DATEDIF(VLOOKUP(A19,Employee_Master!$A$2:$M$31,8,FALSE()),IF(D19="Resigned",VLOOKUP(A19,Employee_Master!$A$2:$M$31,9,FALSE()),TODAY()),"y"),0)</f>
        <v>6</v>
      </c>
      <c r="F19" s="8">
        <f>SUMIFS(Leave_Records!$F$2:$F$1000,Leave_Records!$B$2:$B$1000,A19,Leave_Records!$G$2:$G$1000,"Approved")</f>
        <v>6</v>
      </c>
      <c r="G19" s="10">
        <f>IFERROR(SUMIFS(Attendance_Log!$C$2:$C$1000,Attendance_Log!$A$2:$A$1000,A19)/SUMIFS(Attendance_Log!$D$2:$D$1000,Attendance_Log!$A$2:$A$1000,A19),0)</f>
        <v>0.94083969465648853</v>
      </c>
      <c r="H19" s="11">
        <f>IFERROR(AVERAGEIFS(Performance_Reviews!$C$2:$C$1000,Performance_Reviews!$A$2:$A$1000,A19),0)</f>
        <v>4.5</v>
      </c>
      <c r="I19" s="9">
        <f>SUMIFS(Payroll!$F$2:$F$1000,Payroll!$A$2:$A$1000,A19)</f>
        <v>856400</v>
      </c>
      <c r="J19" s="8" t="str">
        <f t="shared" si="0"/>
        <v>Star Performer</v>
      </c>
      <c r="K19" s="8" t="str">
        <f t="shared" si="1"/>
        <v>No</v>
      </c>
      <c r="L19" s="8" t="str">
        <f t="shared" si="2"/>
        <v>No</v>
      </c>
    </row>
    <row r="20" spans="1:12" x14ac:dyDescent="0.3">
      <c r="A20" s="8" t="str">
        <f>Employee_Master!A20</f>
        <v>E019</v>
      </c>
      <c r="B20" s="8" t="str">
        <f>IFERROR(VLOOKUP(A20,Employee_Master!$A$2:$M$31,2,FALSE()),"")</f>
        <v>Tanvir</v>
      </c>
      <c r="C20" s="8" t="str">
        <f>IFERROR(INDEX(Employee_Master!$D$2:$D$31,MATCH(A20,Employee_Master!$A$2:$A$31,0)),"")</f>
        <v>Sales</v>
      </c>
      <c r="D20" s="8" t="str">
        <f>IFERROR(VLOOKUP(A20,Employee_Master!$A$2:$M$31,10,FALSE()),"")</f>
        <v>Resigned</v>
      </c>
      <c r="E20" s="8">
        <f ca="1">IFERROR(DATEDIF(VLOOKUP(A20,Employee_Master!$A$2:$M$31,8,FALSE()),IF(D20="Resigned",VLOOKUP(A20,Employee_Master!$A$2:$M$31,9,FALSE()),TODAY()),"y"),0)</f>
        <v>2</v>
      </c>
      <c r="F20" s="8">
        <f>SUMIFS(Leave_Records!$F$2:$F$1000,Leave_Records!$B$2:$B$1000,A20,Leave_Records!$G$2:$G$1000,"Approved")</f>
        <v>5</v>
      </c>
      <c r="G20" s="10">
        <f>IFERROR(SUMIFS(Attendance_Log!$C$2:$C$1000,Attendance_Log!$A$2:$A$1000,A20)/SUMIFS(Attendance_Log!$D$2:$D$1000,Attendance_Log!$A$2:$A$1000,A20),0)</f>
        <v>0.92323651452282163</v>
      </c>
      <c r="H20" s="11">
        <f>IFERROR(AVERAGEIFS(Performance_Reviews!$C$2:$C$1000,Performance_Reviews!$A$2:$A$1000,A20),0)</f>
        <v>4</v>
      </c>
      <c r="I20" s="9">
        <f>SUMIFS(Payroll!$F$2:$F$1000,Payroll!$A$2:$A$1000,A20)</f>
        <v>788300</v>
      </c>
      <c r="J20" s="8" t="str">
        <f t="shared" si="0"/>
        <v>Strong</v>
      </c>
      <c r="K20" s="8" t="str">
        <f t="shared" si="1"/>
        <v>Yes</v>
      </c>
      <c r="L20" s="8" t="str">
        <f t="shared" si="2"/>
        <v>No</v>
      </c>
    </row>
    <row r="21" spans="1:12" x14ac:dyDescent="0.3">
      <c r="A21" s="8" t="str">
        <f>Employee_Master!A21</f>
        <v>E020</v>
      </c>
      <c r="B21" s="8" t="str">
        <f>IFERROR(VLOOKUP(A21,Employee_Master!$A$2:$M$31,2,FALSE()),"")</f>
        <v>Popy</v>
      </c>
      <c r="C21" s="8" t="str">
        <f>IFERROR(INDEX(Employee_Master!$D$2:$D$31,MATCH(A21,Employee_Master!$A$2:$A$31,0)),"")</f>
        <v>Marketing</v>
      </c>
      <c r="D21" s="8" t="str">
        <f>IFERROR(VLOOKUP(A21,Employee_Master!$A$2:$M$31,10,FALSE()),"")</f>
        <v>Active</v>
      </c>
      <c r="E21" s="8">
        <f ca="1">IFERROR(DATEDIF(VLOOKUP(A21,Employee_Master!$A$2:$M$31,8,FALSE()),IF(D21="Resigned",VLOOKUP(A21,Employee_Master!$A$2:$M$31,9,FALSE()),TODAY()),"y"),0)</f>
        <v>5</v>
      </c>
      <c r="F21" s="8">
        <f>SUMIFS(Leave_Records!$F$2:$F$1000,Leave_Records!$B$2:$B$1000,A21,Leave_Records!$G$2:$G$1000,"Approved")</f>
        <v>6</v>
      </c>
      <c r="G21" s="10">
        <f>IFERROR(SUMIFS(Attendance_Log!$C$2:$C$1000,Attendance_Log!$A$2:$A$1000,A21)/SUMIFS(Attendance_Log!$D$2:$D$1000,Attendance_Log!$A$2:$A$1000,A21),0)</f>
        <v>0.9217557251908397</v>
      </c>
      <c r="H21" s="11">
        <f>IFERROR(AVERAGEIFS(Performance_Reviews!$C$2:$C$1000,Performance_Reviews!$A$2:$A$1000,A21),0)</f>
        <v>3</v>
      </c>
      <c r="I21" s="9">
        <f>SUMIFS(Payroll!$F$2:$F$1000,Payroll!$A$2:$A$1000,A21)</f>
        <v>856700</v>
      </c>
      <c r="J21" s="8" t="str">
        <f t="shared" si="0"/>
        <v>Average</v>
      </c>
      <c r="K21" s="8" t="str">
        <f t="shared" si="1"/>
        <v>No</v>
      </c>
      <c r="L21" s="8" t="str">
        <f t="shared" si="2"/>
        <v>No</v>
      </c>
    </row>
    <row r="22" spans="1:12" x14ac:dyDescent="0.3">
      <c r="A22" s="8" t="str">
        <f>Employee_Master!A22</f>
        <v>E021</v>
      </c>
      <c r="B22" s="8" t="str">
        <f>IFERROR(VLOOKUP(A22,Employee_Master!$A$2:$M$31,2,FALSE()),"")</f>
        <v>Imran</v>
      </c>
      <c r="C22" s="8" t="str">
        <f>IFERROR(INDEX(Employee_Master!$D$2:$D$31,MATCH(A22,Employee_Master!$A$2:$A$31,0)),"")</f>
        <v>Finance</v>
      </c>
      <c r="D22" s="8" t="str">
        <f>IFERROR(VLOOKUP(A22,Employee_Master!$A$2:$M$31,10,FALSE()),"")</f>
        <v>Resigned</v>
      </c>
      <c r="E22" s="8">
        <f ca="1">IFERROR(DATEDIF(VLOOKUP(A22,Employee_Master!$A$2:$M$31,8,FALSE()),IF(D22="Resigned",VLOOKUP(A22,Employee_Master!$A$2:$M$31,9,FALSE()),TODAY()),"y"),0)</f>
        <v>4</v>
      </c>
      <c r="F22" s="8">
        <f>SUMIFS(Leave_Records!$F$2:$F$1000,Leave_Records!$B$2:$B$1000,A22,Leave_Records!$G$2:$G$1000,"Approved")</f>
        <v>0</v>
      </c>
      <c r="G22" s="10">
        <f>IFERROR(SUMIFS(Attendance_Log!$C$2:$C$1000,Attendance_Log!$A$2:$A$1000,A22)/SUMIFS(Attendance_Log!$D$2:$D$1000,Attendance_Log!$A$2:$A$1000,A22),0)</f>
        <v>0.91984732824427484</v>
      </c>
      <c r="H22" s="11">
        <f>IFERROR(AVERAGEIFS(Performance_Reviews!$C$2:$C$1000,Performance_Reviews!$A$2:$A$1000,A22),0)</f>
        <v>4</v>
      </c>
      <c r="I22" s="9">
        <f>SUMIFS(Payroll!$F$2:$F$1000,Payroll!$A$2:$A$1000,A22)</f>
        <v>1360800</v>
      </c>
      <c r="J22" s="8" t="str">
        <f t="shared" si="0"/>
        <v>Strong</v>
      </c>
      <c r="K22" s="8" t="str">
        <f t="shared" si="1"/>
        <v>Yes</v>
      </c>
      <c r="L22" s="8" t="str">
        <f t="shared" si="2"/>
        <v>No</v>
      </c>
    </row>
    <row r="23" spans="1:12" x14ac:dyDescent="0.3">
      <c r="A23" s="8" t="str">
        <f>Employee_Master!A23</f>
        <v>E022</v>
      </c>
      <c r="B23" s="8" t="str">
        <f>IFERROR(VLOOKUP(A23,Employee_Master!$A$2:$M$31,2,FALSE()),"")</f>
        <v>Ruma</v>
      </c>
      <c r="C23" s="8" t="str">
        <f>IFERROR(INDEX(Employee_Master!$D$2:$D$31,MATCH(A23,Employee_Master!$A$2:$A$31,0)),"")</f>
        <v>IT</v>
      </c>
      <c r="D23" s="8" t="str">
        <f>IFERROR(VLOOKUP(A23,Employee_Master!$A$2:$M$31,10,FALSE()),"")</f>
        <v>Active</v>
      </c>
      <c r="E23" s="8">
        <f ca="1">IFERROR(DATEDIF(VLOOKUP(A23,Employee_Master!$A$2:$M$31,8,FALSE()),IF(D23="Resigned",VLOOKUP(A23,Employee_Master!$A$2:$M$31,9,FALSE()),TODAY()),"y"),0)</f>
        <v>5</v>
      </c>
      <c r="F23" s="8">
        <f>SUMIFS(Leave_Records!$F$2:$F$1000,Leave_Records!$B$2:$B$1000,A23,Leave_Records!$G$2:$G$1000,"Approved")</f>
        <v>1</v>
      </c>
      <c r="G23" s="10">
        <f>IFERROR(SUMIFS(Attendance_Log!$C$2:$C$1000,Attendance_Log!$A$2:$A$1000,A23)/SUMIFS(Attendance_Log!$D$2:$D$1000,Attendance_Log!$A$2:$A$1000,A23),0)</f>
        <v>0.9217557251908397</v>
      </c>
      <c r="H23" s="11">
        <f>IFERROR(AVERAGEIFS(Performance_Reviews!$C$2:$C$1000,Performance_Reviews!$A$2:$A$1000,A23),0)</f>
        <v>4</v>
      </c>
      <c r="I23" s="9">
        <f>SUMIFS(Payroll!$F$2:$F$1000,Payroll!$A$2:$A$1000,A23)</f>
        <v>786800</v>
      </c>
      <c r="J23" s="8" t="str">
        <f t="shared" si="0"/>
        <v>Strong</v>
      </c>
      <c r="K23" s="8" t="str">
        <f t="shared" si="1"/>
        <v>No</v>
      </c>
      <c r="L23" s="8" t="str">
        <f t="shared" si="2"/>
        <v>No</v>
      </c>
    </row>
    <row r="24" spans="1:12" x14ac:dyDescent="0.3">
      <c r="A24" s="8" t="str">
        <f>Employee_Master!A24</f>
        <v>E023</v>
      </c>
      <c r="B24" s="8" t="str">
        <f>IFERROR(VLOOKUP(A24,Employee_Master!$A$2:$M$31,2,FALSE()),"")</f>
        <v>Rakib</v>
      </c>
      <c r="C24" s="8" t="str">
        <f>IFERROR(INDEX(Employee_Master!$D$2:$D$31,MATCH(A24,Employee_Master!$A$2:$A$31,0)),"")</f>
        <v>HR</v>
      </c>
      <c r="D24" s="8" t="str">
        <f>IFERROR(VLOOKUP(A24,Employee_Master!$A$2:$M$31,10,FALSE()),"")</f>
        <v>Active</v>
      </c>
      <c r="E24" s="8">
        <f ca="1">IFERROR(DATEDIF(VLOOKUP(A24,Employee_Master!$A$2:$M$31,8,FALSE()),IF(D24="Resigned",VLOOKUP(A24,Employee_Master!$A$2:$M$31,9,FALSE()),TODAY()),"y"),0)</f>
        <v>4</v>
      </c>
      <c r="F24" s="8">
        <f>SUMIFS(Leave_Records!$F$2:$F$1000,Leave_Records!$B$2:$B$1000,A24,Leave_Records!$G$2:$G$1000,"Approved")</f>
        <v>2</v>
      </c>
      <c r="G24" s="10">
        <f>IFERROR(SUMIFS(Attendance_Log!$C$2:$C$1000,Attendance_Log!$A$2:$A$1000,A24)/SUMIFS(Attendance_Log!$D$2:$D$1000,Attendance_Log!$A$2:$A$1000,A24),0)</f>
        <v>0.92938931297709926</v>
      </c>
      <c r="H24" s="11">
        <f>IFERROR(AVERAGEIFS(Performance_Reviews!$C$2:$C$1000,Performance_Reviews!$A$2:$A$1000,A24),0)</f>
        <v>3.5</v>
      </c>
      <c r="I24" s="9">
        <f>SUMIFS(Payroll!$F$2:$F$1000,Payroll!$A$2:$A$1000,A24)</f>
        <v>1163700</v>
      </c>
      <c r="J24" s="8" t="str">
        <f t="shared" si="0"/>
        <v>Strong</v>
      </c>
      <c r="K24" s="8" t="str">
        <f t="shared" si="1"/>
        <v>No</v>
      </c>
      <c r="L24" s="8" t="str">
        <f t="shared" si="2"/>
        <v>No</v>
      </c>
    </row>
    <row r="25" spans="1:12" x14ac:dyDescent="0.3">
      <c r="A25" s="8" t="str">
        <f>Employee_Master!A25</f>
        <v>E024</v>
      </c>
      <c r="B25" s="8" t="str">
        <f>IFERROR(VLOOKUP(A25,Employee_Master!$A$2:$M$31,2,FALSE()),"")</f>
        <v>Shila</v>
      </c>
      <c r="C25" s="8" t="str">
        <f>IFERROR(INDEX(Employee_Master!$D$2:$D$31,MATCH(A25,Employee_Master!$A$2:$A$31,0)),"")</f>
        <v>Operations</v>
      </c>
      <c r="D25" s="8" t="str">
        <f>IFERROR(VLOOKUP(A25,Employee_Master!$A$2:$M$31,10,FALSE()),"")</f>
        <v>Active</v>
      </c>
      <c r="E25" s="8">
        <f ca="1">IFERROR(DATEDIF(VLOOKUP(A25,Employee_Master!$A$2:$M$31,8,FALSE()),IF(D25="Resigned",VLOOKUP(A25,Employee_Master!$A$2:$M$31,9,FALSE()),TODAY()),"y"),0)</f>
        <v>2</v>
      </c>
      <c r="F25" s="8">
        <f>SUMIFS(Leave_Records!$F$2:$F$1000,Leave_Records!$B$2:$B$1000,A25,Leave_Records!$G$2:$G$1000,"Approved")</f>
        <v>4</v>
      </c>
      <c r="G25" s="10">
        <f>IFERROR(SUMIFS(Attendance_Log!$C$2:$C$1000,Attendance_Log!$A$2:$A$1000,A25)/SUMIFS(Attendance_Log!$D$2:$D$1000,Attendance_Log!$A$2:$A$1000,A25),0)</f>
        <v>0.91703056768558955</v>
      </c>
      <c r="H25" s="11">
        <f>IFERROR(AVERAGEIFS(Performance_Reviews!$C$2:$C$1000,Performance_Reviews!$A$2:$A$1000,A25),0)</f>
        <v>3</v>
      </c>
      <c r="I25" s="9">
        <f>SUMIFS(Payroll!$F$2:$F$1000,Payroll!$A$2:$A$1000,A25)</f>
        <v>894200</v>
      </c>
      <c r="J25" s="8" t="str">
        <f t="shared" si="0"/>
        <v>Average</v>
      </c>
      <c r="K25" s="8" t="str">
        <f t="shared" si="1"/>
        <v>No</v>
      </c>
      <c r="L25" s="8" t="str">
        <f t="shared" si="2"/>
        <v>No</v>
      </c>
    </row>
    <row r="26" spans="1:12" x14ac:dyDescent="0.3">
      <c r="A26" s="8" t="str">
        <f>Employee_Master!A26</f>
        <v>E025</v>
      </c>
      <c r="B26" s="8" t="str">
        <f>IFERROR(VLOOKUP(A26,Employee_Master!$A$2:$M$31,2,FALSE()),"")</f>
        <v>Shakil</v>
      </c>
      <c r="C26" s="8" t="str">
        <f>IFERROR(INDEX(Employee_Master!$D$2:$D$31,MATCH(A26,Employee_Master!$A$2:$A$31,0)),"")</f>
        <v>Sales</v>
      </c>
      <c r="D26" s="8" t="str">
        <f>IFERROR(VLOOKUP(A26,Employee_Master!$A$2:$M$31,10,FALSE()),"")</f>
        <v>Active</v>
      </c>
      <c r="E26" s="8">
        <f ca="1">IFERROR(DATEDIF(VLOOKUP(A26,Employee_Master!$A$2:$M$31,8,FALSE()),IF(D26="Resigned",VLOOKUP(A26,Employee_Master!$A$2:$M$31,9,FALSE()),TODAY()),"y"),0)</f>
        <v>2</v>
      </c>
      <c r="F26" s="8">
        <f>SUMIFS(Leave_Records!$F$2:$F$1000,Leave_Records!$B$2:$B$1000,A26,Leave_Records!$G$2:$G$1000,"Approved")</f>
        <v>1</v>
      </c>
      <c r="G26" s="10">
        <f>IFERROR(SUMIFS(Attendance_Log!$C$2:$C$1000,Attendance_Log!$A$2:$A$1000,A26)/SUMIFS(Attendance_Log!$D$2:$D$1000,Attendance_Log!$A$2:$A$1000,A26),0)</f>
        <v>0.91984732824427484</v>
      </c>
      <c r="H26" s="11">
        <f>IFERROR(AVERAGEIFS(Performance_Reviews!$C$2:$C$1000,Performance_Reviews!$A$2:$A$1000,A26),0)</f>
        <v>3</v>
      </c>
      <c r="I26" s="9">
        <f>SUMIFS(Payroll!$F$2:$F$1000,Payroll!$A$2:$A$1000,A26)</f>
        <v>781200</v>
      </c>
      <c r="J26" s="8" t="str">
        <f t="shared" si="0"/>
        <v>Average</v>
      </c>
      <c r="K26" s="8" t="str">
        <f t="shared" si="1"/>
        <v>No</v>
      </c>
      <c r="L26" s="8" t="str">
        <f t="shared" si="2"/>
        <v>No</v>
      </c>
    </row>
    <row r="27" spans="1:12" x14ac:dyDescent="0.3">
      <c r="A27" s="8" t="str">
        <f>Employee_Master!A27</f>
        <v>E026</v>
      </c>
      <c r="B27" s="8" t="str">
        <f>IFERROR(VLOOKUP(A27,Employee_Master!$A$2:$M$31,2,FALSE()),"")</f>
        <v>Mitu</v>
      </c>
      <c r="C27" s="8" t="str">
        <f>IFERROR(INDEX(Employee_Master!$D$2:$D$31,MATCH(A27,Employee_Master!$A$2:$A$31,0)),"")</f>
        <v>Marketing</v>
      </c>
      <c r="D27" s="8" t="str">
        <f>IFERROR(VLOOKUP(A27,Employee_Master!$A$2:$M$31,10,FALSE()),"")</f>
        <v>Active</v>
      </c>
      <c r="E27" s="8">
        <f ca="1">IFERROR(DATEDIF(VLOOKUP(A27,Employee_Master!$A$2:$M$31,8,FALSE()),IF(D27="Resigned",VLOOKUP(A27,Employee_Master!$A$2:$M$31,9,FALSE()),TODAY()),"y"),0)</f>
        <v>3</v>
      </c>
      <c r="F27" s="8">
        <f>SUMIFS(Leave_Records!$F$2:$F$1000,Leave_Records!$B$2:$B$1000,A27,Leave_Records!$G$2:$G$1000,"Approved")</f>
        <v>2</v>
      </c>
      <c r="G27" s="10">
        <f>IFERROR(SUMIFS(Attendance_Log!$C$2:$C$1000,Attendance_Log!$A$2:$A$1000,A27)/SUMIFS(Attendance_Log!$D$2:$D$1000,Attendance_Log!$A$2:$A$1000,A27),0)</f>
        <v>0.92557251908396942</v>
      </c>
      <c r="H27" s="11">
        <f>IFERROR(AVERAGEIFS(Performance_Reviews!$C$2:$C$1000,Performance_Reviews!$A$2:$A$1000,A27),0)</f>
        <v>5</v>
      </c>
      <c r="I27" s="9">
        <f>SUMIFS(Payroll!$F$2:$F$1000,Payroll!$A$2:$A$1000,A27)</f>
        <v>1171600</v>
      </c>
      <c r="J27" s="8" t="str">
        <f t="shared" si="0"/>
        <v>Star Performer</v>
      </c>
      <c r="K27" s="8" t="str">
        <f t="shared" si="1"/>
        <v>No</v>
      </c>
      <c r="L27" s="8" t="str">
        <f t="shared" si="2"/>
        <v>No</v>
      </c>
    </row>
    <row r="28" spans="1:12" x14ac:dyDescent="0.3">
      <c r="A28" s="8" t="str">
        <f>Employee_Master!A28</f>
        <v>E027</v>
      </c>
      <c r="B28" s="8" t="str">
        <f>IFERROR(VLOOKUP(A28,Employee_Master!$A$2:$M$31,2,FALSE()),"")</f>
        <v>Emon</v>
      </c>
      <c r="C28" s="8" t="str">
        <f>IFERROR(INDEX(Employee_Master!$D$2:$D$31,MATCH(A28,Employee_Master!$A$2:$A$31,0)),"")</f>
        <v>Finance</v>
      </c>
      <c r="D28" s="8" t="str">
        <f>IFERROR(VLOOKUP(A28,Employee_Master!$A$2:$M$31,10,FALSE()),"")</f>
        <v>Active</v>
      </c>
      <c r="E28" s="8">
        <f ca="1">IFERROR(DATEDIF(VLOOKUP(A28,Employee_Master!$A$2:$M$31,8,FALSE()),IF(D28="Resigned",VLOOKUP(A28,Employee_Master!$A$2:$M$31,9,FALSE()),TODAY()),"y"),0)</f>
        <v>4</v>
      </c>
      <c r="F28" s="8">
        <f>SUMIFS(Leave_Records!$F$2:$F$1000,Leave_Records!$B$2:$B$1000,A28,Leave_Records!$G$2:$G$1000,"Approved")</f>
        <v>2</v>
      </c>
      <c r="G28" s="10">
        <f>IFERROR(SUMIFS(Attendance_Log!$C$2:$C$1000,Attendance_Log!$A$2:$A$1000,A28)/SUMIFS(Attendance_Log!$D$2:$D$1000,Attendance_Log!$A$2:$A$1000,A28),0)</f>
        <v>0.92366412213740456</v>
      </c>
      <c r="H28" s="11">
        <f>IFERROR(AVERAGEIFS(Performance_Reviews!$C$2:$C$1000,Performance_Reviews!$A$2:$A$1000,A28),0)</f>
        <v>4</v>
      </c>
      <c r="I28" s="9">
        <f>SUMIFS(Payroll!$F$2:$F$1000,Payroll!$A$2:$A$1000,A28)</f>
        <v>1565600</v>
      </c>
      <c r="J28" s="8" t="str">
        <f t="shared" si="0"/>
        <v>Strong</v>
      </c>
      <c r="K28" s="8" t="str">
        <f t="shared" si="1"/>
        <v>No</v>
      </c>
      <c r="L28" s="8" t="str">
        <f t="shared" si="2"/>
        <v>No</v>
      </c>
    </row>
    <row r="29" spans="1:12" x14ac:dyDescent="0.3">
      <c r="A29" s="8" t="str">
        <f>Employee_Master!A29</f>
        <v>E028</v>
      </c>
      <c r="B29" s="8" t="str">
        <f>IFERROR(VLOOKUP(A29,Employee_Master!$A$2:$M$31,2,FALSE()),"")</f>
        <v>Priya</v>
      </c>
      <c r="C29" s="8" t="str">
        <f>IFERROR(INDEX(Employee_Master!$D$2:$D$31,MATCH(A29,Employee_Master!$A$2:$A$31,0)),"")</f>
        <v>IT</v>
      </c>
      <c r="D29" s="8" t="str">
        <f>IFERROR(VLOOKUP(A29,Employee_Master!$A$2:$M$31,10,FALSE()),"")</f>
        <v>Active</v>
      </c>
      <c r="E29" s="8">
        <f ca="1">IFERROR(DATEDIF(VLOOKUP(A29,Employee_Master!$A$2:$M$31,8,FALSE()),IF(D29="Resigned",VLOOKUP(A29,Employee_Master!$A$2:$M$31,9,FALSE()),TODAY()),"y"),0)</f>
        <v>2</v>
      </c>
      <c r="F29" s="8">
        <f>SUMIFS(Leave_Records!$F$2:$F$1000,Leave_Records!$B$2:$B$1000,A29,Leave_Records!$G$2:$G$1000,"Approved")</f>
        <v>2</v>
      </c>
      <c r="G29" s="10">
        <f>IFERROR(SUMIFS(Attendance_Log!$C$2:$C$1000,Attendance_Log!$A$2:$A$1000,A29)/SUMIFS(Attendance_Log!$D$2:$D$1000,Attendance_Log!$A$2:$A$1000,A29),0)</f>
        <v>0.93625498007968122</v>
      </c>
      <c r="H29" s="11">
        <f>IFERROR(AVERAGEIFS(Performance_Reviews!$C$2:$C$1000,Performance_Reviews!$A$2:$A$1000,A29),0)</f>
        <v>4</v>
      </c>
      <c r="I29" s="9">
        <f>SUMIFS(Payroll!$F$2:$F$1000,Payroll!$A$2:$A$1000,A29)</f>
        <v>1211200</v>
      </c>
      <c r="J29" s="8" t="str">
        <f t="shared" si="0"/>
        <v>Strong</v>
      </c>
      <c r="K29" s="8" t="str">
        <f t="shared" si="1"/>
        <v>No</v>
      </c>
      <c r="L29" s="8" t="str">
        <f t="shared" si="2"/>
        <v>No</v>
      </c>
    </row>
    <row r="30" spans="1:12" x14ac:dyDescent="0.3">
      <c r="A30" s="8" t="str">
        <f>Employee_Master!A30</f>
        <v>E029</v>
      </c>
      <c r="B30" s="8" t="str">
        <f>IFERROR(VLOOKUP(A30,Employee_Master!$A$2:$M$31,2,FALSE()),"")</f>
        <v>Rasel</v>
      </c>
      <c r="C30" s="8" t="str">
        <f>IFERROR(INDEX(Employee_Master!$D$2:$D$31,MATCH(A30,Employee_Master!$A$2:$A$31,0)),"")</f>
        <v>HR</v>
      </c>
      <c r="D30" s="8" t="str">
        <f>IFERROR(VLOOKUP(A30,Employee_Master!$A$2:$M$31,10,FALSE()),"")</f>
        <v>Active</v>
      </c>
      <c r="E30" s="8">
        <f ca="1">IFERROR(DATEDIF(VLOOKUP(A30,Employee_Master!$A$2:$M$31,8,FALSE()),IF(D30="Resigned",VLOOKUP(A30,Employee_Master!$A$2:$M$31,9,FALSE()),TODAY()),"y"),0)</f>
        <v>2</v>
      </c>
      <c r="F30" s="8">
        <f>SUMIFS(Leave_Records!$F$2:$F$1000,Leave_Records!$B$2:$B$1000,A30,Leave_Records!$G$2:$G$1000,"Approved")</f>
        <v>2</v>
      </c>
      <c r="G30" s="10">
        <f>IFERROR(SUMIFS(Attendance_Log!$C$2:$C$1000,Attendance_Log!$A$2:$A$1000,A30)/SUMIFS(Attendance_Log!$D$2:$D$1000,Attendance_Log!$A$2:$A$1000,A30),0)</f>
        <v>0.91787439613526567</v>
      </c>
      <c r="H30" s="11">
        <f>IFERROR(AVERAGEIFS(Performance_Reviews!$C$2:$C$1000,Performance_Reviews!$A$2:$A$1000,A30),0)</f>
        <v>3</v>
      </c>
      <c r="I30" s="9">
        <f>SUMIFS(Payroll!$F$2:$F$1000,Payroll!$A$2:$A$1000,A30)</f>
        <v>1001700</v>
      </c>
      <c r="J30" s="8" t="str">
        <f t="shared" si="0"/>
        <v>Average</v>
      </c>
      <c r="K30" s="8" t="str">
        <f t="shared" si="1"/>
        <v>No</v>
      </c>
      <c r="L30" s="8" t="str">
        <f t="shared" si="2"/>
        <v>No</v>
      </c>
    </row>
    <row r="31" spans="1:12" x14ac:dyDescent="0.3">
      <c r="A31" s="8" t="str">
        <f>Employee_Master!A31</f>
        <v>E030</v>
      </c>
      <c r="B31" s="8" t="str">
        <f>IFERROR(VLOOKUP(A31,Employee_Master!$A$2:$M$31,2,FALSE()),"")</f>
        <v>Tasnim</v>
      </c>
      <c r="C31" s="8" t="str">
        <f>IFERROR(INDEX(Employee_Master!$D$2:$D$31,MATCH(A31,Employee_Master!$A$2:$A$31,0)),"")</f>
        <v>Operations</v>
      </c>
      <c r="D31" s="8" t="str">
        <f>IFERROR(VLOOKUP(A31,Employee_Master!$A$2:$M$31,10,FALSE()),"")</f>
        <v>Resigned</v>
      </c>
      <c r="E31" s="8">
        <f ca="1">IFERROR(DATEDIF(VLOOKUP(A31,Employee_Master!$A$2:$M$31,8,FALSE()),IF(D31="Resigned",VLOOKUP(A31,Employee_Master!$A$2:$M$31,9,FALSE()),TODAY()),"y"),0)</f>
        <v>5</v>
      </c>
      <c r="F31" s="8">
        <f>SUMIFS(Leave_Records!$F$2:$F$1000,Leave_Records!$B$2:$B$1000,A31,Leave_Records!$G$2:$G$1000,"Approved")</f>
        <v>6</v>
      </c>
      <c r="G31" s="10">
        <f>IFERROR(SUMIFS(Attendance_Log!$C$2:$C$1000,Attendance_Log!$A$2:$A$1000,A31)/SUMIFS(Attendance_Log!$D$2:$D$1000,Attendance_Log!$A$2:$A$1000,A31),0)</f>
        <v>0.93055555555555558</v>
      </c>
      <c r="H31" s="11">
        <f>IFERROR(AVERAGEIFS(Performance_Reviews!$C$2:$C$1000,Performance_Reviews!$A$2:$A$1000,A31),0)</f>
        <v>2.5</v>
      </c>
      <c r="I31" s="9">
        <f>SUMIFS(Payroll!$F$2:$F$1000,Payroll!$A$2:$A$1000,A31)</f>
        <v>1505600</v>
      </c>
      <c r="J31" s="8" t="str">
        <f t="shared" si="0"/>
        <v>Average</v>
      </c>
      <c r="K31" s="8" t="str">
        <f t="shared" si="1"/>
        <v>Yes</v>
      </c>
      <c r="L31" s="8" t="str">
        <f t="shared" si="2"/>
        <v>No</v>
      </c>
    </row>
    <row r="33" spans="1:5" x14ac:dyDescent="0.3">
      <c r="A33" s="13" t="s">
        <v>368</v>
      </c>
      <c r="B33" s="13"/>
      <c r="C33" s="13"/>
      <c r="D33" s="13" t="s">
        <v>369</v>
      </c>
      <c r="E33" s="13"/>
    </row>
    <row r="34" spans="1:5" x14ac:dyDescent="0.3">
      <c r="A34" s="2" t="s">
        <v>370</v>
      </c>
      <c r="B34" s="2" t="s">
        <v>371</v>
      </c>
      <c r="D34" s="2" t="s">
        <v>372</v>
      </c>
      <c r="E34" s="2" t="s">
        <v>373</v>
      </c>
    </row>
    <row r="35" spans="1:5" x14ac:dyDescent="0.3">
      <c r="A35" s="8" t="s">
        <v>374</v>
      </c>
      <c r="B35" s="14">
        <f ca="1">MEDIAN(E2:E31)</f>
        <v>4</v>
      </c>
      <c r="D35" s="8" t="s">
        <v>375</v>
      </c>
      <c r="E35" s="8" t="str">
        <f>IF(COUNTBLANK(Employee_Master!A2:A31)&gt;0,"Blank Found","OK")</f>
        <v>OK</v>
      </c>
    </row>
    <row r="36" spans="1:5" x14ac:dyDescent="0.3">
      <c r="A36" s="8" t="s">
        <v>376</v>
      </c>
      <c r="B36" s="10">
        <f>MEDIAN(G2:G31)</f>
        <v>0.92345031833011304</v>
      </c>
      <c r="D36" s="8" t="s">
        <v>377</v>
      </c>
      <c r="E36" s="8" t="str">
        <f>IF(SUMPRODUCT((NOT(ISNUMBER(Employee_Master!K2:K31)))*1)=0,"OK","Text Found")</f>
        <v>OK</v>
      </c>
    </row>
    <row r="37" spans="1:5" x14ac:dyDescent="0.3">
      <c r="A37" s="8" t="s">
        <v>378</v>
      </c>
      <c r="B37" s="15">
        <f>_xlfn.STDEV.S(G2:G31)</f>
        <v>9.9893990237570739E-3</v>
      </c>
      <c r="D37" s="8" t="s">
        <v>379</v>
      </c>
      <c r="E37" s="8" t="str">
        <f>IF(SUMPRODUCT((ISERROR(B2:B31))*1)&gt;0,"Error Found","OK")</f>
        <v>OK</v>
      </c>
    </row>
    <row r="38" spans="1:5" x14ac:dyDescent="0.3">
      <c r="A38" s="8" t="s">
        <v>380</v>
      </c>
      <c r="B38" s="11">
        <f>LARGE(H2:H31,1)</f>
        <v>5</v>
      </c>
      <c r="D38" s="8" t="s">
        <v>381</v>
      </c>
      <c r="E38" s="8" t="str">
        <f>IF(SUMPRODUCT((ISNA(B2:B31))*1)&gt;0,"N/A Found","OK")</f>
        <v>OK</v>
      </c>
    </row>
    <row r="39" spans="1:5" x14ac:dyDescent="0.3">
      <c r="A39" s="8" t="s">
        <v>382</v>
      </c>
      <c r="B39" s="11">
        <f>SMALL(H2:H31,1)</f>
        <v>2.5</v>
      </c>
      <c r="D39" s="8" t="s">
        <v>383</v>
      </c>
      <c r="E39" s="8" t="str">
        <f>IF(SUMPRODUCT((ISBLANK(Employee_Master!D2:D31))*1)&gt;0,"Blank Found","OK")</f>
        <v>OK</v>
      </c>
    </row>
    <row r="40" spans="1:5" x14ac:dyDescent="0.3">
      <c r="A40" s="8" t="s">
        <v>384</v>
      </c>
      <c r="B40" s="9">
        <f>PERCENTILE(I2:I31,0.75)</f>
        <v>1431300</v>
      </c>
    </row>
    <row r="41" spans="1:5" x14ac:dyDescent="0.3">
      <c r="A41" s="8" t="s">
        <v>385</v>
      </c>
      <c r="B41" s="9">
        <f>QUARTILE(I2:I31,1)</f>
        <v>852800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Lists</vt:lpstr>
      <vt:lpstr>Employee_Master</vt:lpstr>
      <vt:lpstr>Dashboard</vt:lpstr>
      <vt:lpstr>Attendance_Log</vt:lpstr>
      <vt:lpstr>Leave_Records</vt:lpstr>
      <vt:lpstr>Payroll</vt:lpstr>
      <vt:lpstr>Performance_Reviews</vt:lpstr>
      <vt:lpstr>Recruitment_Pipeline</vt:lpstr>
      <vt:lpstr>Calculations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Md. Sawrab</cp:lastModifiedBy>
  <cp:revision>1</cp:revision>
  <cp:lastPrinted>2026-08-01T18:51:12Z</cp:lastPrinted>
  <dcterms:created xsi:type="dcterms:W3CDTF">2026-08-01T05:22:39Z</dcterms:created>
  <dcterms:modified xsi:type="dcterms:W3CDTF">2026-08-01T19:11:43Z</dcterms:modified>
  <dc:language>en-US</dc:language>
</cp:coreProperties>
</file>